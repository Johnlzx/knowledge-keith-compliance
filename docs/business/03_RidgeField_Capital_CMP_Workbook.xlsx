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MP Tasks" sheetId="1" state="visible" r:id="rId3"/>
    <sheet name="Regulatory Calendar" sheetId="2" state="visible" r:id="rId4"/>
    <sheet name="Training Tracker" sheetId="3" state="visible" r:id="rId5"/>
    <sheet name="Dashboard" sheetId="4" state="visible" r:id="rId6"/>
  </sheets>
  <definedNames>
    <definedName function="false" hidden="false" localSheetId="0" name="_xlnm.Print_Area" vbProcedure="false">'CMP Tasks'!$A$1:$K$71</definedName>
    <definedName function="false" hidden="true" localSheetId="0" name="_xlnm._FilterDatabase" vbProcedure="false">'CMP Tasks'!$A$1:$K$71</definedName>
    <definedName function="false" hidden="true" localSheetId="1" name="_xlnm._FilterDatabase" vbProcedure="false">'Regulatory Calendar'!$A$1:$H$25</definedName>
    <definedName function="false" hidden="true" localSheetId="2" name="_xlnm._FilterDatabase" vbProcedure="false">'Training Tracker'!$A$1:$O$7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<sst xmlns="http://schemas.openxmlformats.org/spreadsheetml/2006/main" count="713" uniqueCount="301">
  <si>
    <t xml:space="preserve">Task ID</t>
  </si>
  <si>
    <t xml:space="preserve">Category</t>
  </si>
  <si>
    <t xml:space="preserve">Task Description</t>
  </si>
  <si>
    <t xml:space="preserve">Frequency</t>
  </si>
  <si>
    <t xml:space="preserve">MAS Basis / Reference</t>
  </si>
  <si>
    <t xml:space="preserve">Responsible Person</t>
  </si>
  <si>
    <t xml:space="preserve">Due Date / Deadline</t>
  </si>
  <si>
    <t xml:space="preserve">Status</t>
  </si>
  <si>
    <t xml:space="preserve">Last Completed Date</t>
  </si>
  <si>
    <t xml:space="preserve">Next Due Date</t>
  </si>
  <si>
    <t xml:space="preserve">Notes / Comments</t>
  </si>
  <si>
    <t xml:space="preserve">CMP-001</t>
  </si>
  <si>
    <t xml:space="preserve">AML/CFT</t>
  </si>
  <si>
    <t xml:space="preserve">Monitor transaction alerts and AML red flags</t>
  </si>
  <si>
    <t xml:space="preserve">Daily</t>
  </si>
  <si>
    <t xml:space="preserve">SFA04-N02</t>
  </si>
  <si>
    <t xml:space="preserve">CO</t>
  </si>
  <si>
    <t xml:space="preserve">Not Started</t>
  </si>
  <si>
    <t xml:space="preserve">CMP-002</t>
  </si>
  <si>
    <t xml:space="preserve">Capital Adequacy</t>
  </si>
  <si>
    <t xml:space="preserve">Monitor base capital adequacy (S$250,000 minimum)</t>
  </si>
  <si>
    <t xml:space="preserve">SF(FMR)R Reg 4</t>
  </si>
  <si>
    <t xml:space="preserve">Finance</t>
  </si>
  <si>
    <t xml:space="preserve">CMP-003</t>
  </si>
  <si>
    <t xml:space="preserve">Technology</t>
  </si>
  <si>
    <t xml:space="preserve">Review IT system access logs and security alerts</t>
  </si>
  <si>
    <t xml:space="preserve">FSM-N21</t>
  </si>
  <si>
    <t xml:space="preserve">Ops</t>
  </si>
  <si>
    <t xml:space="preserve">CMP-004</t>
  </si>
  <si>
    <t xml:space="preserve">Sanctions screening refresh for new transactions</t>
  </si>
  <si>
    <t xml:space="preserve">Weekly</t>
  </si>
  <si>
    <t xml:space="preserve">CMP-005</t>
  </si>
  <si>
    <t xml:space="preserve">Compliance Monitoring</t>
  </si>
  <si>
    <t xml:space="preserve">Review personal account dealing logs</t>
  </si>
  <si>
    <t xml:space="preserve">SFA 04-G05</t>
  </si>
  <si>
    <t xml:space="preserve">CMP-006</t>
  </si>
  <si>
    <t xml:space="preserve">Compute financial resources vs total risk requirement (120% threshold)</t>
  </si>
  <si>
    <t xml:space="preserve">SF(FMR)R Reg 7</t>
  </si>
  <si>
    <t xml:space="preserve">CMP-007</t>
  </si>
  <si>
    <t xml:space="preserve">Review client communications and marketing materials</t>
  </si>
  <si>
    <t xml:space="preserve">Bi-Weekly</t>
  </si>
  <si>
    <t xml:space="preserve">SFA Part XIII</t>
  </si>
  <si>
    <t xml:space="preserve">CMP-008</t>
  </si>
  <si>
    <t xml:space="preserve">Risk Management</t>
  </si>
  <si>
    <t xml:space="preserve">Review counterparty exposure and credit limits</t>
  </si>
  <si>
    <t xml:space="preserve">PM</t>
  </si>
  <si>
    <t xml:space="preserve">CMP-009</t>
  </si>
  <si>
    <t xml:space="preserve">Full sanctions screening refresh for all existing clients (MAS, OFAC, EU SDN, UK, UN)</t>
  </si>
  <si>
    <t xml:space="preserve">Monthly</t>
  </si>
  <si>
    <t xml:space="preserve">CMP-010</t>
  </si>
  <si>
    <t xml:space="preserve">Review of transactions for AML red flags (comprehensive monthly review)</t>
  </si>
  <si>
    <t xml:space="preserve">CMP-011</t>
  </si>
  <si>
    <t xml:space="preserve">Review and update restricted/watch list</t>
  </si>
  <si>
    <t xml:space="preserve">CMP-012</t>
  </si>
  <si>
    <t xml:space="preserve">Review complaints register</t>
  </si>
  <si>
    <t xml:space="preserve">Fair Dealing Guidelines</t>
  </si>
  <si>
    <t xml:space="preserve">CMP-013</t>
  </si>
  <si>
    <t xml:space="preserve">Review gift and entertainment register</t>
  </si>
  <si>
    <t xml:space="preserve">PCA / Internal Policy</t>
  </si>
  <si>
    <t xml:space="preserve">CMP-014</t>
  </si>
  <si>
    <t xml:space="preserve">Review error/breach register</t>
  </si>
  <si>
    <t xml:space="preserve">CMP-015</t>
  </si>
  <si>
    <t xml:space="preserve">Monthly base capital and financial resources reconciliation</t>
  </si>
  <si>
    <t xml:space="preserve">SF(FMR)R</t>
  </si>
  <si>
    <t xml:space="preserve">CMP-016</t>
  </si>
  <si>
    <t xml:space="preserve">Portfolio compliance check (investment mandates, risk limits)</t>
  </si>
  <si>
    <t xml:space="preserve">PM/CO</t>
  </si>
  <si>
    <t xml:space="preserve">CMP-017</t>
  </si>
  <si>
    <t xml:space="preserve">Liquidity risk monitoring and stress testing</t>
  </si>
  <si>
    <t xml:space="preserve">CMP-018</t>
  </si>
  <si>
    <t xml:space="preserve">IT security incident review and patch management check</t>
  </si>
  <si>
    <t xml:space="preserve">FSM-N21 / TRM Guidelines</t>
  </si>
  <si>
    <t xml:space="preserve">CMP-019</t>
  </si>
  <si>
    <t xml:space="preserve">HR/Admin</t>
  </si>
  <si>
    <t xml:space="preserve">Review employee trading activity and broker statements</t>
  </si>
  <si>
    <t xml:space="preserve">CMP-020</t>
  </si>
  <si>
    <t xml:space="preserve">Governance</t>
  </si>
  <si>
    <t xml:space="preserve">Update compliance calendar and task tracker</t>
  </si>
  <si>
    <t xml:space="preserve">Internal</t>
  </si>
  <si>
    <t xml:space="preserve">CMP-021</t>
  </si>
  <si>
    <t xml:space="preserve">Regulatory Reporting</t>
  </si>
  <si>
    <t xml:space="preserve">Submit Forms 1 &amp; 2 (Quarterly Financial Returns) via MASNET</t>
  </si>
  <si>
    <t xml:space="preserve">Quarterly</t>
  </si>
  <si>
    <t xml:space="preserve">Toolkit Item 37, SF(FMR)R Reg 27</t>
  </si>
  <si>
    <t xml:space="preserve">Finance/CO</t>
  </si>
  <si>
    <t xml:space="preserve">CMP-022</t>
  </si>
  <si>
    <t xml:space="preserve">Submit QIE (Quarterly Income and Expenditure) via MASNET</t>
  </si>
  <si>
    <t xml:space="preserve">Toolkit Item 37</t>
  </si>
  <si>
    <t xml:space="preserve">CMP-023</t>
  </si>
  <si>
    <t xml:space="preserve">Submit Quarterly Fund Data Collection via MAS-Tx</t>
  </si>
  <si>
    <t xml:space="preserve">MAS-Tx</t>
  </si>
  <si>
    <t xml:space="preserve">CO/Finance</t>
  </si>
  <si>
    <t xml:space="preserve">CMP-024</t>
  </si>
  <si>
    <t xml:space="preserve">Prepare and present Compliance Report to Board of Directors</t>
  </si>
  <si>
    <t xml:space="preserve">CMP-025</t>
  </si>
  <si>
    <t xml:space="preserve">Board meeting — compliance and risk agenda items</t>
  </si>
  <si>
    <t xml:space="preserve">CEO/CO</t>
  </si>
  <si>
    <t xml:space="preserve">CMP-026</t>
  </si>
  <si>
    <t xml:space="preserve">Quarterly review of investor complaints and resolution</t>
  </si>
  <si>
    <t xml:space="preserve">CMP-027</t>
  </si>
  <si>
    <t xml:space="preserve">Update compliance policies as required</t>
  </si>
  <si>
    <t xml:space="preserve">CMP-028</t>
  </si>
  <si>
    <t xml:space="preserve">Training</t>
  </si>
  <si>
    <t xml:space="preserve">Staff training assessment and gap analysis</t>
  </si>
  <si>
    <t xml:space="preserve">SFA04-N02 / IAC Guidelines</t>
  </si>
  <si>
    <t xml:space="preserve">CMP-029</t>
  </si>
  <si>
    <t xml:space="preserve">Quarterly risk assessment update</t>
  </si>
  <si>
    <t xml:space="preserve">CMP-030</t>
  </si>
  <si>
    <t xml:space="preserve">Quarterly AML/CFT compliance review</t>
  </si>
  <si>
    <t xml:space="preserve">CMP-031</t>
  </si>
  <si>
    <t xml:space="preserve">Quarterly verification of base capital and risk-based capital adequacy</t>
  </si>
  <si>
    <t xml:space="preserve">SF(FMR)R Regs 4, 7</t>
  </si>
  <si>
    <t xml:space="preserve">CMP-032</t>
  </si>
  <si>
    <t xml:space="preserve">Internal compliance review of client onboarding files</t>
  </si>
  <si>
    <t xml:space="preserve">Semi-Annually</t>
  </si>
  <si>
    <t xml:space="preserve">CMP-033</t>
  </si>
  <si>
    <t xml:space="preserve">Vendor compliance review for material outsourcing arrangements</t>
  </si>
  <si>
    <t xml:space="preserve">MAS Outsourcing Guidelines</t>
  </si>
  <si>
    <t xml:space="preserve">CO/Ops</t>
  </si>
  <si>
    <t xml:space="preserve">CMP-034</t>
  </si>
  <si>
    <t xml:space="preserve">BCP testing and documentation of results</t>
  </si>
  <si>
    <t xml:space="preserve">MAS BCM Guidelines</t>
  </si>
  <si>
    <t xml:space="preserve">Ops/CO</t>
  </si>
  <si>
    <t xml:space="preserve">CMP-035</t>
  </si>
  <si>
    <t xml:space="preserve">Periodic CDD review — high-risk clients</t>
  </si>
  <si>
    <t xml:space="preserve">CMP-036</t>
  </si>
  <si>
    <t xml:space="preserve">IT disaster recovery testing</t>
  </si>
  <si>
    <t xml:space="preserve">TRM Guidelines / FSM-N21</t>
  </si>
  <si>
    <t xml:space="preserve">CMP-037</t>
  </si>
  <si>
    <t xml:space="preserve">Review and update outsourcing register</t>
  </si>
  <si>
    <t xml:space="preserve">CMP-038</t>
  </si>
  <si>
    <t xml:space="preserve">Enterprise-Wide Risk Assessment (ERWA)</t>
  </si>
  <si>
    <t xml:space="preserve">Annually</t>
  </si>
  <si>
    <t xml:space="preserve">CO/Risk</t>
  </si>
  <si>
    <t xml:space="preserve">CMP-039</t>
  </si>
  <si>
    <t xml:space="preserve">Audit</t>
  </si>
  <si>
    <t xml:space="preserve">Internal audit (AML/CFT, operational controls, IT controls, regulatory compliance)</t>
  </si>
  <si>
    <t xml:space="preserve">IA</t>
  </si>
  <si>
    <t xml:space="preserve">CMP-040</t>
  </si>
  <si>
    <t xml:space="preserve">IT Audit</t>
  </si>
  <si>
    <t xml:space="preserve">CMP-041</t>
  </si>
  <si>
    <t xml:space="preserve">Vulnerability Assessment and Penetration Testing (VAPT)</t>
  </si>
  <si>
    <t xml:space="preserve">IA/Ops</t>
  </si>
  <si>
    <t xml:space="preserve">CMP-042</t>
  </si>
  <si>
    <t xml:space="preserve">Submit audited financial returns + auditor's report (Forms 1-6) via MASNET</t>
  </si>
  <si>
    <t xml:space="preserve">Toolkit Item 38, Section 107 SFA</t>
  </si>
  <si>
    <t xml:space="preserve">CMP-043</t>
  </si>
  <si>
    <t xml:space="preserve">Submit Declaration of No Misconduct via MAS-Tx</t>
  </si>
  <si>
    <t xml:space="preserve">Toolkit Item 40</t>
  </si>
  <si>
    <t xml:space="preserve">CMP-044</t>
  </si>
  <si>
    <t xml:space="preserve">Submit Cross-border Declaration (Form FR) via MAS-Tx (if applicable)</t>
  </si>
  <si>
    <t xml:space="preserve">Toolkit Item 41</t>
  </si>
  <si>
    <t xml:space="preserve">CMP-045</t>
  </si>
  <si>
    <t xml:space="preserve">Annual compliance certification to Board</t>
  </si>
  <si>
    <t xml:space="preserve">CMP-046</t>
  </si>
  <si>
    <t xml:space="preserve">Full policy review cycle — update all policies and Compliance Manual</t>
  </si>
  <si>
    <t xml:space="preserve">CMP-047</t>
  </si>
  <si>
    <t xml:space="preserve">Complete staff AML/CFT training programme</t>
  </si>
  <si>
    <t xml:space="preserve">CMP-048</t>
  </si>
  <si>
    <t xml:space="preserve">Complete Code of Conduct / Ethics training</t>
  </si>
  <si>
    <t xml:space="preserve">IMAS Code / IAC Guidelines</t>
  </si>
  <si>
    <t xml:space="preserve">CMP-049</t>
  </si>
  <si>
    <t xml:space="preserve">PDPA and cybersecurity awareness training</t>
  </si>
  <si>
    <t xml:space="preserve">PDPA / Cybersecurity Act</t>
  </si>
  <si>
    <t xml:space="preserve">CMP-050</t>
  </si>
  <si>
    <t xml:space="preserve">Annual AML/CFT enterprise risk assessment (Form 9)</t>
  </si>
  <si>
    <t xml:space="preserve">CMP-051</t>
  </si>
  <si>
    <t xml:space="preserve">Periodic CDD review — medium-risk clients (every 3 years, stagger annually)</t>
  </si>
  <si>
    <t xml:space="preserve">CMP-052</t>
  </si>
  <si>
    <t xml:space="preserve">Annual review of Environmental Risk Management framework</t>
  </si>
  <si>
    <t xml:space="preserve">MAS ERM Guidelines</t>
  </si>
  <si>
    <t xml:space="preserve">CO/PM</t>
  </si>
  <si>
    <t xml:space="preserve">CMP-053</t>
  </si>
  <si>
    <t xml:space="preserve">Annual review of Individual Accountability and Conduct framework</t>
  </si>
  <si>
    <t xml:space="preserve">IAC Guidelines</t>
  </si>
  <si>
    <t xml:space="preserve">CO/CEO</t>
  </si>
  <si>
    <t xml:space="preserve">CMP-054</t>
  </si>
  <si>
    <t xml:space="preserve">Annual Fit and Proper declarations from all directors, CEO, representatives</t>
  </si>
  <si>
    <t xml:space="preserve">F&amp;P Guidelines</t>
  </si>
  <si>
    <t xml:space="preserve">CO/HR</t>
  </si>
  <si>
    <t xml:space="preserve">CMP-055</t>
  </si>
  <si>
    <t xml:space="preserve">Annual personal account dealing declarations (Form 3)</t>
  </si>
  <si>
    <t xml:space="preserve">CMP-056</t>
  </si>
  <si>
    <t xml:space="preserve">Performance review of all technology systems (CRM, PMS, AML screening)</t>
  </si>
  <si>
    <t xml:space="preserve">CMP-057</t>
  </si>
  <si>
    <t xml:space="preserve">Vendor performance review for all outsourced service providers</t>
  </si>
  <si>
    <t xml:space="preserve">CMP-058</t>
  </si>
  <si>
    <t xml:space="preserve">BCM Audit</t>
  </si>
  <si>
    <t xml:space="preserve">Every 3 Years</t>
  </si>
  <si>
    <t xml:space="preserve">MAS BCM Guidelines (June 2022)</t>
  </si>
  <si>
    <t xml:space="preserve">CMP-059</t>
  </si>
  <si>
    <t xml:space="preserve">Periodic CDD review — low-risk clients</t>
  </si>
  <si>
    <t xml:space="preserve">CMP-060</t>
  </si>
  <si>
    <t xml:space="preserve">Submit Misconduct Report via MAS-Tx</t>
  </si>
  <si>
    <t xml:space="preserve">Event-Driven</t>
  </si>
  <si>
    <t xml:space="preserve">Toolkit Item 39</t>
  </si>
  <si>
    <t xml:space="preserve">N/A</t>
  </si>
  <si>
    <t xml:space="preserve">CMP-061</t>
  </si>
  <si>
    <t xml:space="preserve">Submit IT Incident Report (initial within 1 hour; final within 14 days)</t>
  </si>
  <si>
    <t xml:space="preserve">Toolkit Item 42 / FSM-N21</t>
  </si>
  <si>
    <t xml:space="preserve">CMP-062</t>
  </si>
  <si>
    <t xml:space="preserve">Notify MAS of base capital breach</t>
  </si>
  <si>
    <t xml:space="preserve">Toolkit Item 25</t>
  </si>
  <si>
    <t xml:space="preserve">CMP-063</t>
  </si>
  <si>
    <t xml:space="preserve">Notify MAS of risk-based capital breach (&lt;120%)</t>
  </si>
  <si>
    <t xml:space="preserve">Toolkit Items 26-27</t>
  </si>
  <si>
    <t xml:space="preserve">CMP-064</t>
  </si>
  <si>
    <t xml:space="preserve">Notify MAS of material adverse financial change</t>
  </si>
  <si>
    <t xml:space="preserve">Toolkit Item 14</t>
  </si>
  <si>
    <t xml:space="preserve">CMP-065</t>
  </si>
  <si>
    <t xml:space="preserve">Notify MAS of change of name/address (within 14 days)</t>
  </si>
  <si>
    <t xml:space="preserve">Toolkit Item 13</t>
  </si>
  <si>
    <t xml:space="preserve">CMP-066</t>
  </si>
  <si>
    <t xml:space="preserve">Notify MAS of Fitness &amp; Propriety concerns</t>
  </si>
  <si>
    <t xml:space="preserve">Toolkit Item 18</t>
  </si>
  <si>
    <t xml:space="preserve">CMP-067</t>
  </si>
  <si>
    <t xml:space="preserve">Notify MAS if &lt;2 representatives per regulated activity</t>
  </si>
  <si>
    <t xml:space="preserve">Toolkit Item 19</t>
  </si>
  <si>
    <t xml:space="preserve">CMP-068</t>
  </si>
  <si>
    <t xml:space="preserve">Notify MAS of significant redemptions / liquidity events</t>
  </si>
  <si>
    <t xml:space="preserve">Toolkit Item 20</t>
  </si>
  <si>
    <t xml:space="preserve">CMP-069</t>
  </si>
  <si>
    <t xml:space="preserve">File Suspicious Transaction Report (STR) to STRO via SONAR (within 15 business days)</t>
  </si>
  <si>
    <t xml:space="preserve">CMP-070</t>
  </si>
  <si>
    <t xml:space="preserve">Report regulatory breach to MAS</t>
  </si>
  <si>
    <t xml:space="preserve">SFA / SFA 04-G05</t>
  </si>
  <si>
    <t xml:space="preserve">Month</t>
  </si>
  <si>
    <t xml:space="preserve">Daily Tasks</t>
  </si>
  <si>
    <t xml:space="preserve">Weekly Tasks</t>
  </si>
  <si>
    <t xml:space="preserve">Monthly Tasks</t>
  </si>
  <si>
    <t xml:space="preserve">Quarterly Tasks</t>
  </si>
  <si>
    <t xml:space="preserve">Semi-Annual Tasks</t>
  </si>
  <si>
    <t xml:space="preserve">Annual Tasks</t>
  </si>
  <si>
    <t xml:space="preserve">Key MAS Deadlines</t>
  </si>
  <si>
    <t xml:space="preserve">Jan 2026</t>
  </si>
  <si>
    <t xml:space="preserve">CMP-001, CMP-002, CMP-003</t>
  </si>
  <si>
    <t xml:space="preserve">CMP-004, CMP-005, CMP-006</t>
  </si>
  <si>
    <t xml:space="preserve">CMP-009 to CMP-020</t>
  </si>
  <si>
    <t xml:space="preserve">Forms 1&amp;2, No Misconduct Declaration due (by 14th)</t>
  </si>
  <si>
    <t xml:space="preserve">Mar 2026</t>
  </si>
  <si>
    <t xml:space="preserve">CMP-021 to CMP-031</t>
  </si>
  <si>
    <t xml:space="preserve">Apr 2026</t>
  </si>
  <si>
    <t xml:space="preserve">Forms 1&amp;2 due (by 14th)</t>
  </si>
  <si>
    <t xml:space="preserve">May 2026</t>
  </si>
  <si>
    <t xml:space="preserve">Jun 2026</t>
  </si>
  <si>
    <t xml:space="preserve">CMP-032 to CMP-037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</si>
  <si>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</si>
  <si>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</si>
  <si>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</si>
  <si>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</si>
  <si>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</si>
  <si>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</si>
  <si>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CMP-038 to CMP-058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</si>
  <si>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</si>
  <si>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</si>
  <si>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</si>
  <si>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</si>
  <si>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</si>
  <si>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</si>
  <si>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</si>
  <si>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</si>
  <si>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Sep 2027</t>
  </si>
  <si>
    <t xml:space="preserve">Oct 2027</t>
  </si>
  <si>
    <t xml:space="preserve">Nov 2027</t>
  </si>
  <si>
    <t xml:space="preserve">Employee Name</t>
  </si>
  <si>
    <t xml:space="preserve">Role</t>
  </si>
  <si>
    <t xml:space="preserve">AML/CFT Training (Date)</t>
  </si>
  <si>
    <t xml:space="preserve">AML/CFT (Status)</t>
  </si>
  <si>
    <t xml:space="preserve">Code of Conduct (Date)</t>
  </si>
  <si>
    <t xml:space="preserve">Code of Conduct (Status)</t>
  </si>
  <si>
    <t xml:space="preserve">PDPA Training (Date)</t>
  </si>
  <si>
    <t xml:space="preserve">PDPA (Status)</t>
  </si>
  <si>
    <t xml:space="preserve">Cybersecurity (Date)</t>
  </si>
  <si>
    <t xml:space="preserve">Cybersecurity (Status)</t>
  </si>
  <si>
    <t xml:space="preserve">Insider Trading (Date)</t>
  </si>
  <si>
    <t xml:space="preserve">Insider Trading (Status)</t>
  </si>
  <si>
    <t xml:space="preserve">Environmental Risk (Date)</t>
  </si>
  <si>
    <t xml:space="preserve">Environmental Risk (Status)</t>
  </si>
  <si>
    <t xml:space="preserve">Notes</t>
  </si>
  <si>
    <t xml:space="preserve">Loo Cheng Guan</t>
  </si>
  <si>
    <t xml:space="preserve">CEO</t>
  </si>
  <si>
    <t xml:space="preserve">Overdue</t>
  </si>
  <si>
    <t xml:space="preserve">Scheduled</t>
  </si>
  <si>
    <t xml:space="preserve">Liu Jialiang Eric</t>
  </si>
  <si>
    <t xml:space="preserve">Director</t>
  </si>
  <si>
    <t xml:space="preserve">Wong Jayson</t>
  </si>
  <si>
    <t xml:space="preserve">[Compliance Officer]</t>
  </si>
  <si>
    <t xml:space="preserve">Compliance Officer</t>
  </si>
  <si>
    <t xml:space="preserve">Completed</t>
  </si>
  <si>
    <t xml:space="preserve">[Representative 1]</t>
  </si>
  <si>
    <t xml:space="preserve">Licensed Rep</t>
  </si>
  <si>
    <t xml:space="preserve">[Representative 2]</t>
  </si>
  <si>
    <t xml:space="preserve">RidgeField Capital Pte. Ltd. — Compliance Monitoring Programme Dashboard</t>
  </si>
  <si>
    <t xml:space="preserve">TASKS BY STATUS</t>
  </si>
  <si>
    <t xml:space="preserve">Overdue Tasks</t>
  </si>
  <si>
    <t xml:space="preserve">Count</t>
  </si>
  <si>
    <t xml:space="preserve">Total Tasks</t>
  </si>
  <si>
    <t xml:space="preserve">Completed Tasks</t>
  </si>
  <si>
    <t xml:space="preserve">In Progress</t>
  </si>
  <si>
    <t xml:space="preserve">Training Completion Rate</t>
  </si>
  <si>
    <t xml:space="preserve">TASKS BY FREQUENCY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</si>
</sst>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  <font>
      <sz val="10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6E"/>
        <bgColor rgb="FF333399"/>
      </patternFill>
    </fill>
    <fill>
      <patternFill patternType="solid">
        <fgColor rgb="FFFFFFFF"/>
        <bgColor rgb="FFF2F7FB"/>
      </patternFill>
    </fill>
    <fill>
      <patternFill patternType="solid">
        <fgColor rgb="FFF2F7FB"/>
        <bgColor rgb="FFE8EFF5"/>
      </patternFill>
    </fill>
    <fill>
      <patternFill patternType="solid">
        <fgColor rgb="FFD9E8F5"/>
        <bgColor rgb="FFE8EFF5"/>
      </patternFill>
    </fill>
    <fill>
      <patternFill patternType="solid">
        <fgColor rgb="FFE8EFF5"/>
        <bgColor rgb="FFF2F7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6E"/>
          <bgColor rgb="FF000000"/>
        </patternFill>
      </fill>
    </dxf>
    <dxf>
      <fill>
        <patternFill patternType="solid">
          <fgColor rgb="FFF2F7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B"/>
      <rgbColor rgb="FFD9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F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45"/>
    <col collapsed="false" customWidth="true" hidden="false" outlineLevel="0" max="4" min="4" style="1" width="15"/>
    <col collapsed="false" customWidth="true" hidden="false" outlineLevel="0" max="5" min="5" style="1" width="30"/>
    <col collapsed="false" customWidth="true" hidden="false" outlineLevel="0" max="10" min="6" style="1" width="15"/>
    <col collapsed="false" customWidth="true" hidden="false" outlineLevel="0" max="11" min="11" style="1" width="25"/>
  </cols>
  <sheetData>
    <row r="1" customFormat="false" ht="34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tru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/>
      <c r="H2" s="3" t="s">
        <v>17</v>
      </c>
      <c r="I2" s="3"/>
      <c r="J2" s="3"/>
      <c r="K2" s="3"/>
    </row>
    <row r="3" customFormat="false" ht="15" hidden="false" customHeight="true" outlineLevel="0" collapsed="false">
      <c r="A3" s="4" t="s">
        <v>18</v>
      </c>
      <c r="B3" s="4" t="s">
        <v>19</v>
      </c>
      <c r="C3" s="4" t="s">
        <v>20</v>
      </c>
      <c r="D3" s="4" t="s">
        <v>14</v>
      </c>
      <c r="E3" s="4" t="s">
        <v>21</v>
      </c>
      <c r="F3" s="4" t="s">
        <v>22</v>
      </c>
      <c r="G3" s="4"/>
      <c r="H3" s="4" t="s">
        <v>17</v>
      </c>
      <c r="I3" s="4"/>
      <c r="J3" s="4"/>
      <c r="K3" s="4"/>
    </row>
    <row r="4" customFormat="false" ht="15" hidden="false" customHeight="true" outlineLevel="0" collapsed="false">
      <c r="A4" s="3" t="s">
        <v>23</v>
      </c>
      <c r="B4" s="3" t="s">
        <v>24</v>
      </c>
      <c r="C4" s="3" t="s">
        <v>25</v>
      </c>
      <c r="D4" s="3" t="s">
        <v>14</v>
      </c>
      <c r="E4" s="3" t="s">
        <v>26</v>
      </c>
      <c r="F4" s="3" t="s">
        <v>27</v>
      </c>
      <c r="G4" s="3"/>
      <c r="H4" s="3" t="s">
        <v>17</v>
      </c>
      <c r="I4" s="3"/>
      <c r="J4" s="3"/>
      <c r="K4" s="3"/>
    </row>
    <row r="5" customFormat="false" ht="15" hidden="false" customHeight="true" outlineLevel="0" collapsed="false">
      <c r="A5" s="4" t="s">
        <v>28</v>
      </c>
      <c r="B5" s="4" t="s">
        <v>12</v>
      </c>
      <c r="C5" s="4" t="s">
        <v>29</v>
      </c>
      <c r="D5" s="4" t="s">
        <v>30</v>
      </c>
      <c r="E5" s="4" t="s">
        <v>15</v>
      </c>
      <c r="F5" s="4" t="s">
        <v>16</v>
      </c>
      <c r="G5" s="4"/>
      <c r="H5" s="4" t="s">
        <v>17</v>
      </c>
      <c r="I5" s="4"/>
      <c r="J5" s="4"/>
      <c r="K5" s="4"/>
    </row>
    <row r="6" customFormat="false" ht="15" hidden="false" customHeight="true" outlineLevel="0" collapsed="false">
      <c r="A6" s="3" t="s">
        <v>31</v>
      </c>
      <c r="B6" s="3" t="s">
        <v>32</v>
      </c>
      <c r="C6" s="3" t="s">
        <v>33</v>
      </c>
      <c r="D6" s="3" t="s">
        <v>30</v>
      </c>
      <c r="E6" s="3" t="s">
        <v>34</v>
      </c>
      <c r="F6" s="3" t="s">
        <v>16</v>
      </c>
      <c r="G6" s="3"/>
      <c r="H6" s="3" t="s">
        <v>17</v>
      </c>
      <c r="I6" s="3"/>
      <c r="J6" s="3"/>
      <c r="K6" s="3"/>
    </row>
    <row r="7" customFormat="false" ht="23.25" hidden="false" customHeight="true" outlineLevel="0" collapsed="false">
      <c r="A7" s="4" t="s">
        <v>35</v>
      </c>
      <c r="B7" s="4" t="s">
        <v>19</v>
      </c>
      <c r="C7" s="4" t="s">
        <v>36</v>
      </c>
      <c r="D7" s="4" t="s">
        <v>30</v>
      </c>
      <c r="E7" s="4" t="s">
        <v>37</v>
      </c>
      <c r="F7" s="4" t="s">
        <v>22</v>
      </c>
      <c r="G7" s="4"/>
      <c r="H7" s="4" t="s">
        <v>17</v>
      </c>
      <c r="I7" s="4"/>
      <c r="J7" s="4"/>
      <c r="K7" s="4"/>
    </row>
    <row r="8" customFormat="false" ht="15" hidden="false" customHeight="true" outlineLevel="0" collapsed="false">
      <c r="A8" s="3" t="s">
        <v>38</v>
      </c>
      <c r="B8" s="3" t="s">
        <v>32</v>
      </c>
      <c r="C8" s="3" t="s">
        <v>39</v>
      </c>
      <c r="D8" s="3" t="s">
        <v>40</v>
      </c>
      <c r="E8" s="3" t="s">
        <v>41</v>
      </c>
      <c r="F8" s="3" t="s">
        <v>16</v>
      </c>
      <c r="G8" s="3"/>
      <c r="H8" s="3" t="s">
        <v>17</v>
      </c>
      <c r="I8" s="3"/>
      <c r="J8" s="3"/>
      <c r="K8" s="3"/>
    </row>
    <row r="9" customFormat="false" ht="15" hidden="false" customHeight="true" outlineLevel="0" collapsed="false">
      <c r="A9" s="4" t="s">
        <v>42</v>
      </c>
      <c r="B9" s="4" t="s">
        <v>43</v>
      </c>
      <c r="C9" s="4" t="s">
        <v>44</v>
      </c>
      <c r="D9" s="4" t="s">
        <v>40</v>
      </c>
      <c r="E9" s="4" t="s">
        <v>34</v>
      </c>
      <c r="F9" s="4" t="s">
        <v>45</v>
      </c>
      <c r="G9" s="4"/>
      <c r="H9" s="4" t="s">
        <v>17</v>
      </c>
      <c r="I9" s="4"/>
      <c r="J9" s="4"/>
      <c r="K9" s="4"/>
    </row>
    <row r="10" customFormat="false" ht="23.25" hidden="false" customHeight="true" outlineLevel="0" collapsed="false">
      <c r="A10" s="3" t="s">
        <v>46</v>
      </c>
      <c r="B10" s="3" t="s">
        <v>12</v>
      </c>
      <c r="C10" s="3" t="s">
        <v>47</v>
      </c>
      <c r="D10" s="3" t="s">
        <v>48</v>
      </c>
      <c r="E10" s="3" t="s">
        <v>15</v>
      </c>
      <c r="F10" s="3" t="s">
        <v>16</v>
      </c>
      <c r="G10" s="3"/>
      <c r="H10" s="3" t="s">
        <v>17</v>
      </c>
      <c r="I10" s="3"/>
      <c r="J10" s="3"/>
      <c r="K10" s="3"/>
    </row>
    <row r="11" customFormat="false" ht="23.25" hidden="false" customHeight="true" outlineLevel="0" collapsed="false">
      <c r="A11" s="4" t="s">
        <v>49</v>
      </c>
      <c r="B11" s="4" t="s">
        <v>12</v>
      </c>
      <c r="C11" s="4" t="s">
        <v>50</v>
      </c>
      <c r="D11" s="4" t="s">
        <v>48</v>
      </c>
      <c r="E11" s="4" t="s">
        <v>15</v>
      </c>
      <c r="F11" s="4" t="s">
        <v>16</v>
      </c>
      <c r="G11" s="4"/>
      <c r="H11" s="4" t="s">
        <v>17</v>
      </c>
      <c r="I11" s="4"/>
      <c r="J11" s="4"/>
      <c r="K11" s="4"/>
    </row>
    <row r="12" customFormat="false" ht="15" hidden="false" customHeight="true" outlineLevel="0" collapsed="false">
      <c r="A12" s="3" t="s">
        <v>51</v>
      </c>
      <c r="B12" s="3" t="s">
        <v>32</v>
      </c>
      <c r="C12" s="3" t="s">
        <v>52</v>
      </c>
      <c r="D12" s="3" t="s">
        <v>48</v>
      </c>
      <c r="E12" s="3" t="s">
        <v>34</v>
      </c>
      <c r="F12" s="3" t="s">
        <v>16</v>
      </c>
      <c r="G12" s="3"/>
      <c r="H12" s="3" t="s">
        <v>17</v>
      </c>
      <c r="I12" s="3"/>
      <c r="J12" s="3"/>
      <c r="K12" s="3"/>
    </row>
    <row r="13" customFormat="false" ht="15" hidden="false" customHeight="true" outlineLevel="0" collapsed="false">
      <c r="A13" s="4" t="s">
        <v>53</v>
      </c>
      <c r="B13" s="4" t="s">
        <v>32</v>
      </c>
      <c r="C13" s="4" t="s">
        <v>54</v>
      </c>
      <c r="D13" s="4" t="s">
        <v>48</v>
      </c>
      <c r="E13" s="4" t="s">
        <v>55</v>
      </c>
      <c r="F13" s="4" t="s">
        <v>16</v>
      </c>
      <c r="G13" s="4"/>
      <c r="H13" s="4" t="s">
        <v>17</v>
      </c>
      <c r="I13" s="4"/>
      <c r="J13" s="4"/>
      <c r="K13" s="4"/>
    </row>
    <row r="14" customFormat="false" ht="15" hidden="false" customHeight="true" outlineLevel="0" collapsed="false">
      <c r="A14" s="3" t="s">
        <v>56</v>
      </c>
      <c r="B14" s="3" t="s">
        <v>32</v>
      </c>
      <c r="C14" s="3" t="s">
        <v>57</v>
      </c>
      <c r="D14" s="3" t="s">
        <v>48</v>
      </c>
      <c r="E14" s="3" t="s">
        <v>58</v>
      </c>
      <c r="F14" s="3" t="s">
        <v>16</v>
      </c>
      <c r="G14" s="3"/>
      <c r="H14" s="3" t="s">
        <v>17</v>
      </c>
      <c r="I14" s="3"/>
      <c r="J14" s="3"/>
      <c r="K14" s="3"/>
    </row>
    <row r="15" customFormat="false" ht="15" hidden="false" customHeight="true" outlineLevel="0" collapsed="false">
      <c r="A15" s="4" t="s">
        <v>59</v>
      </c>
      <c r="B15" s="4" t="s">
        <v>32</v>
      </c>
      <c r="C15" s="4" t="s">
        <v>60</v>
      </c>
      <c r="D15" s="4" t="s">
        <v>48</v>
      </c>
      <c r="E15" s="4" t="s">
        <v>34</v>
      </c>
      <c r="F15" s="4" t="s">
        <v>16</v>
      </c>
      <c r="G15" s="4"/>
      <c r="H15" s="4" t="s">
        <v>17</v>
      </c>
      <c r="I15" s="4"/>
      <c r="J15" s="4"/>
      <c r="K15" s="4"/>
    </row>
    <row r="16" customFormat="false" ht="23.25" hidden="false" customHeight="true" outlineLevel="0" collapsed="false">
      <c r="A16" s="3" t="s">
        <v>61</v>
      </c>
      <c r="B16" s="3" t="s">
        <v>19</v>
      </c>
      <c r="C16" s="3" t="s">
        <v>62</v>
      </c>
      <c r="D16" s="3" t="s">
        <v>48</v>
      </c>
      <c r="E16" s="3" t="s">
        <v>63</v>
      </c>
      <c r="F16" s="3" t="s">
        <v>22</v>
      </c>
      <c r="G16" s="3"/>
      <c r="H16" s="3" t="s">
        <v>17</v>
      </c>
      <c r="I16" s="3"/>
      <c r="J16" s="3"/>
      <c r="K16" s="3"/>
    </row>
    <row r="17" customFormat="false" ht="23.25" hidden="false" customHeight="true" outlineLevel="0" collapsed="false">
      <c r="A17" s="4" t="s">
        <v>64</v>
      </c>
      <c r="B17" s="4" t="s">
        <v>43</v>
      </c>
      <c r="C17" s="4" t="s">
        <v>65</v>
      </c>
      <c r="D17" s="4" t="s">
        <v>48</v>
      </c>
      <c r="E17" s="4" t="s">
        <v>34</v>
      </c>
      <c r="F17" s="4" t="s">
        <v>66</v>
      </c>
      <c r="G17" s="4"/>
      <c r="H17" s="4" t="s">
        <v>17</v>
      </c>
      <c r="I17" s="4"/>
      <c r="J17" s="4"/>
      <c r="K17" s="4"/>
    </row>
    <row r="18" customFormat="false" ht="15" hidden="false" customHeight="true" outlineLevel="0" collapsed="false">
      <c r="A18" s="3" t="s">
        <v>67</v>
      </c>
      <c r="B18" s="3" t="s">
        <v>43</v>
      </c>
      <c r="C18" s="3" t="s">
        <v>68</v>
      </c>
      <c r="D18" s="3" t="s">
        <v>48</v>
      </c>
      <c r="E18" s="3" t="s">
        <v>34</v>
      </c>
      <c r="F18" s="3" t="s">
        <v>66</v>
      </c>
      <c r="G18" s="3"/>
      <c r="H18" s="3" t="s">
        <v>17</v>
      </c>
      <c r="I18" s="3"/>
      <c r="J18" s="3"/>
      <c r="K18" s="3"/>
    </row>
    <row r="19" customFormat="false" ht="15" hidden="false" customHeight="true" outlineLevel="0" collapsed="false">
      <c r="A19" s="4" t="s">
        <v>69</v>
      </c>
      <c r="B19" s="4" t="s">
        <v>24</v>
      </c>
      <c r="C19" s="4" t="s">
        <v>70</v>
      </c>
      <c r="D19" s="4" t="s">
        <v>48</v>
      </c>
      <c r="E19" s="4" t="s">
        <v>71</v>
      </c>
      <c r="F19" s="4" t="s">
        <v>27</v>
      </c>
      <c r="G19" s="4"/>
      <c r="H19" s="4" t="s">
        <v>17</v>
      </c>
      <c r="I19" s="4"/>
      <c r="J19" s="4"/>
      <c r="K19" s="4"/>
    </row>
    <row r="20" customFormat="false" ht="15" hidden="false" customHeight="true" outlineLevel="0" collapsed="false">
      <c r="A20" s="3" t="s">
        <v>72</v>
      </c>
      <c r="B20" s="3" t="s">
        <v>73</v>
      </c>
      <c r="C20" s="3" t="s">
        <v>74</v>
      </c>
      <c r="D20" s="3" t="s">
        <v>48</v>
      </c>
      <c r="E20" s="3" t="s">
        <v>34</v>
      </c>
      <c r="F20" s="3" t="s">
        <v>16</v>
      </c>
      <c r="G20" s="3"/>
      <c r="H20" s="3" t="s">
        <v>17</v>
      </c>
      <c r="I20" s="3"/>
      <c r="J20" s="3"/>
      <c r="K20" s="3"/>
    </row>
    <row r="21" customFormat="false" ht="15" hidden="false" customHeight="true" outlineLevel="0" collapsed="false">
      <c r="A21" s="4" t="s">
        <v>75</v>
      </c>
      <c r="B21" s="4" t="s">
        <v>76</v>
      </c>
      <c r="C21" s="4" t="s">
        <v>77</v>
      </c>
      <c r="D21" s="4" t="s">
        <v>48</v>
      </c>
      <c r="E21" s="4" t="s">
        <v>78</v>
      </c>
      <c r="F21" s="4" t="s">
        <v>16</v>
      </c>
      <c r="G21" s="4"/>
      <c r="H21" s="4" t="s">
        <v>17</v>
      </c>
      <c r="I21" s="4"/>
      <c r="J21" s="4"/>
      <c r="K21" s="4"/>
    </row>
    <row r="22" customFormat="false" ht="23.25" hidden="false" customHeight="true" outlineLevel="0" collapsed="false">
      <c r="A22" s="3" t="s">
        <v>79</v>
      </c>
      <c r="B22" s="3" t="s">
        <v>80</v>
      </c>
      <c r="C22" s="3" t="s">
        <v>81</v>
      </c>
      <c r="D22" s="3" t="s">
        <v>82</v>
      </c>
      <c r="E22" s="3" t="s">
        <v>83</v>
      </c>
      <c r="F22" s="3" t="s">
        <v>84</v>
      </c>
      <c r="G22" s="3"/>
      <c r="H22" s="3" t="s">
        <v>17</v>
      </c>
      <c r="I22" s="3"/>
      <c r="J22" s="3"/>
      <c r="K22" s="3"/>
    </row>
    <row r="23" customFormat="false" ht="23.25" hidden="false" customHeight="true" outlineLevel="0" collapsed="false">
      <c r="A23" s="4" t="s">
        <v>85</v>
      </c>
      <c r="B23" s="4" t="s">
        <v>80</v>
      </c>
      <c r="C23" s="4" t="s">
        <v>86</v>
      </c>
      <c r="D23" s="4" t="s">
        <v>82</v>
      </c>
      <c r="E23" s="4" t="s">
        <v>87</v>
      </c>
      <c r="F23" s="4" t="s">
        <v>22</v>
      </c>
      <c r="G23" s="4"/>
      <c r="H23" s="4" t="s">
        <v>17</v>
      </c>
      <c r="I23" s="4"/>
      <c r="J23" s="4"/>
      <c r="K23" s="4"/>
    </row>
    <row r="24" customFormat="false" ht="15" hidden="false" customHeight="true" outlineLevel="0" collapsed="false">
      <c r="A24" s="3" t="s">
        <v>88</v>
      </c>
      <c r="B24" s="3" t="s">
        <v>80</v>
      </c>
      <c r="C24" s="3" t="s">
        <v>89</v>
      </c>
      <c r="D24" s="3" t="s">
        <v>82</v>
      </c>
      <c r="E24" s="3" t="s">
        <v>90</v>
      </c>
      <c r="F24" s="3" t="s">
        <v>91</v>
      </c>
      <c r="G24" s="3"/>
      <c r="H24" s="3" t="s">
        <v>17</v>
      </c>
      <c r="I24" s="3"/>
      <c r="J24" s="3"/>
      <c r="K24" s="3"/>
    </row>
    <row r="25" customFormat="false" ht="23.25" hidden="false" customHeight="true" outlineLevel="0" collapsed="false">
      <c r="A25" s="4" t="s">
        <v>92</v>
      </c>
      <c r="B25" s="4" t="s">
        <v>76</v>
      </c>
      <c r="C25" s="4" t="s">
        <v>93</v>
      </c>
      <c r="D25" s="4" t="s">
        <v>82</v>
      </c>
      <c r="E25" s="4" t="s">
        <v>34</v>
      </c>
      <c r="F25" s="4" t="s">
        <v>16</v>
      </c>
      <c r="G25" s="4"/>
      <c r="H25" s="4" t="s">
        <v>17</v>
      </c>
      <c r="I25" s="4"/>
      <c r="J25" s="4"/>
      <c r="K25" s="4"/>
    </row>
    <row r="26" customFormat="false" ht="15" hidden="false" customHeight="true" outlineLevel="0" collapsed="false">
      <c r="A26" s="3" t="s">
        <v>94</v>
      </c>
      <c r="B26" s="3" t="s">
        <v>76</v>
      </c>
      <c r="C26" s="3" t="s">
        <v>95</v>
      </c>
      <c r="D26" s="3" t="s">
        <v>82</v>
      </c>
      <c r="E26" s="3" t="s">
        <v>34</v>
      </c>
      <c r="F26" s="3" t="s">
        <v>96</v>
      </c>
      <c r="G26" s="3"/>
      <c r="H26" s="3" t="s">
        <v>17</v>
      </c>
      <c r="I26" s="3"/>
      <c r="J26" s="3"/>
      <c r="K26" s="3"/>
    </row>
    <row r="27" customFormat="false" ht="15" hidden="false" customHeight="true" outlineLevel="0" collapsed="false">
      <c r="A27" s="4" t="s">
        <v>97</v>
      </c>
      <c r="B27" s="4" t="s">
        <v>32</v>
      </c>
      <c r="C27" s="4" t="s">
        <v>98</v>
      </c>
      <c r="D27" s="4" t="s">
        <v>82</v>
      </c>
      <c r="E27" s="4" t="s">
        <v>55</v>
      </c>
      <c r="F27" s="4" t="s">
        <v>16</v>
      </c>
      <c r="G27" s="4"/>
      <c r="H27" s="4" t="s">
        <v>17</v>
      </c>
      <c r="I27" s="4"/>
      <c r="J27" s="4"/>
      <c r="K27" s="4"/>
    </row>
    <row r="28" customFormat="false" ht="15" hidden="false" customHeight="true" outlineLevel="0" collapsed="false">
      <c r="A28" s="3" t="s">
        <v>99</v>
      </c>
      <c r="B28" s="3" t="s">
        <v>32</v>
      </c>
      <c r="C28" s="3" t="s">
        <v>100</v>
      </c>
      <c r="D28" s="3" t="s">
        <v>82</v>
      </c>
      <c r="E28" s="3" t="s">
        <v>34</v>
      </c>
      <c r="F28" s="3" t="s">
        <v>16</v>
      </c>
      <c r="G28" s="3"/>
      <c r="H28" s="3" t="s">
        <v>17</v>
      </c>
      <c r="I28" s="3"/>
      <c r="J28" s="3"/>
      <c r="K28" s="3"/>
    </row>
    <row r="29" customFormat="false" ht="15" hidden="false" customHeight="true" outlineLevel="0" collapsed="false">
      <c r="A29" s="4" t="s">
        <v>101</v>
      </c>
      <c r="B29" s="4" t="s">
        <v>102</v>
      </c>
      <c r="C29" s="4" t="s">
        <v>103</v>
      </c>
      <c r="D29" s="4" t="s">
        <v>82</v>
      </c>
      <c r="E29" s="4" t="s">
        <v>104</v>
      </c>
      <c r="F29" s="4" t="s">
        <v>16</v>
      </c>
      <c r="G29" s="4"/>
      <c r="H29" s="4" t="s">
        <v>17</v>
      </c>
      <c r="I29" s="4"/>
      <c r="J29" s="4"/>
      <c r="K29" s="4"/>
    </row>
    <row r="30" customFormat="false" ht="15" hidden="false" customHeight="true" outlineLevel="0" collapsed="false">
      <c r="A30" s="3" t="s">
        <v>105</v>
      </c>
      <c r="B30" s="3" t="s">
        <v>43</v>
      </c>
      <c r="C30" s="3" t="s">
        <v>106</v>
      </c>
      <c r="D30" s="3" t="s">
        <v>82</v>
      </c>
      <c r="E30" s="3" t="s">
        <v>34</v>
      </c>
      <c r="F30" s="3" t="s">
        <v>16</v>
      </c>
      <c r="G30" s="3"/>
      <c r="H30" s="3" t="s">
        <v>17</v>
      </c>
      <c r="I30" s="3"/>
      <c r="J30" s="3"/>
      <c r="K30" s="3"/>
    </row>
    <row r="31" customFormat="false" ht="15" hidden="false" customHeight="true" outlineLevel="0" collapsed="false">
      <c r="A31" s="4" t="s">
        <v>107</v>
      </c>
      <c r="B31" s="4" t="s">
        <v>12</v>
      </c>
      <c r="C31" s="4" t="s">
        <v>108</v>
      </c>
      <c r="D31" s="4" t="s">
        <v>82</v>
      </c>
      <c r="E31" s="4" t="s">
        <v>15</v>
      </c>
      <c r="F31" s="4" t="s">
        <v>16</v>
      </c>
      <c r="G31" s="4"/>
      <c r="H31" s="4" t="s">
        <v>17</v>
      </c>
      <c r="I31" s="4"/>
      <c r="J31" s="4"/>
      <c r="K31" s="4"/>
    </row>
    <row r="32" customFormat="false" ht="23.25" hidden="false" customHeight="true" outlineLevel="0" collapsed="false">
      <c r="A32" s="3" t="s">
        <v>109</v>
      </c>
      <c r="B32" s="3" t="s">
        <v>19</v>
      </c>
      <c r="C32" s="3" t="s">
        <v>110</v>
      </c>
      <c r="D32" s="3" t="s">
        <v>82</v>
      </c>
      <c r="E32" s="3" t="s">
        <v>111</v>
      </c>
      <c r="F32" s="3" t="s">
        <v>84</v>
      </c>
      <c r="G32" s="3"/>
      <c r="H32" s="3" t="s">
        <v>17</v>
      </c>
      <c r="I32" s="3"/>
      <c r="J32" s="3"/>
      <c r="K32" s="3"/>
    </row>
    <row r="33" customFormat="false" ht="15" hidden="false" customHeight="true" outlineLevel="0" collapsed="false">
      <c r="A33" s="4" t="s">
        <v>112</v>
      </c>
      <c r="B33" s="4" t="s">
        <v>32</v>
      </c>
      <c r="C33" s="4" t="s">
        <v>113</v>
      </c>
      <c r="D33" s="4" t="s">
        <v>114</v>
      </c>
      <c r="E33" s="4" t="s">
        <v>15</v>
      </c>
      <c r="F33" s="4" t="s">
        <v>16</v>
      </c>
      <c r="G33" s="4"/>
      <c r="H33" s="4" t="s">
        <v>17</v>
      </c>
      <c r="I33" s="4"/>
      <c r="J33" s="4"/>
      <c r="K33" s="4"/>
    </row>
    <row r="34" customFormat="false" ht="23.25" hidden="false" customHeight="true" outlineLevel="0" collapsed="false">
      <c r="A34" s="3" t="s">
        <v>115</v>
      </c>
      <c r="B34" s="3" t="s">
        <v>32</v>
      </c>
      <c r="C34" s="3" t="s">
        <v>116</v>
      </c>
      <c r="D34" s="3" t="s">
        <v>114</v>
      </c>
      <c r="E34" s="3" t="s">
        <v>117</v>
      </c>
      <c r="F34" s="3" t="s">
        <v>118</v>
      </c>
      <c r="G34" s="3"/>
      <c r="H34" s="3" t="s">
        <v>17</v>
      </c>
      <c r="I34" s="3"/>
      <c r="J34" s="3"/>
      <c r="K34" s="3"/>
    </row>
    <row r="35" customFormat="false" ht="15" hidden="false" customHeight="true" outlineLevel="0" collapsed="false">
      <c r="A35" s="4" t="s">
        <v>119</v>
      </c>
      <c r="B35" s="4" t="s">
        <v>43</v>
      </c>
      <c r="C35" s="4" t="s">
        <v>120</v>
      </c>
      <c r="D35" s="4" t="s">
        <v>114</v>
      </c>
      <c r="E35" s="4" t="s">
        <v>121</v>
      </c>
      <c r="F35" s="4" t="s">
        <v>122</v>
      </c>
      <c r="G35" s="4"/>
      <c r="H35" s="4" t="s">
        <v>17</v>
      </c>
      <c r="I35" s="4"/>
      <c r="J35" s="4"/>
      <c r="K35" s="4"/>
    </row>
    <row r="36" customFormat="false" ht="15" hidden="false" customHeight="true" outlineLevel="0" collapsed="false">
      <c r="A36" s="3" t="s">
        <v>123</v>
      </c>
      <c r="B36" s="3" t="s">
        <v>12</v>
      </c>
      <c r="C36" s="3" t="s">
        <v>124</v>
      </c>
      <c r="D36" s="3" t="s">
        <v>114</v>
      </c>
      <c r="E36" s="3" t="s">
        <v>15</v>
      </c>
      <c r="F36" s="3" t="s">
        <v>16</v>
      </c>
      <c r="G36" s="3"/>
      <c r="H36" s="3" t="s">
        <v>17</v>
      </c>
      <c r="I36" s="3"/>
      <c r="J36" s="3"/>
      <c r="K36" s="3"/>
    </row>
    <row r="37" customFormat="false" ht="15" hidden="false" customHeight="true" outlineLevel="0" collapsed="false">
      <c r="A37" s="4" t="s">
        <v>125</v>
      </c>
      <c r="B37" s="4" t="s">
        <v>24</v>
      </c>
      <c r="C37" s="4" t="s">
        <v>126</v>
      </c>
      <c r="D37" s="4" t="s">
        <v>114</v>
      </c>
      <c r="E37" s="4" t="s">
        <v>127</v>
      </c>
      <c r="F37" s="4" t="s">
        <v>27</v>
      </c>
      <c r="G37" s="4"/>
      <c r="H37" s="4" t="s">
        <v>17</v>
      </c>
      <c r="I37" s="4"/>
      <c r="J37" s="4"/>
      <c r="K37" s="4"/>
    </row>
    <row r="38" customFormat="false" ht="15" hidden="false" customHeight="true" outlineLevel="0" collapsed="false">
      <c r="A38" s="3" t="s">
        <v>128</v>
      </c>
      <c r="B38" s="3" t="s">
        <v>32</v>
      </c>
      <c r="C38" s="3" t="s">
        <v>129</v>
      </c>
      <c r="D38" s="3" t="s">
        <v>114</v>
      </c>
      <c r="E38" s="3" t="s">
        <v>117</v>
      </c>
      <c r="F38" s="3" t="s">
        <v>16</v>
      </c>
      <c r="G38" s="3"/>
      <c r="H38" s="3" t="s">
        <v>17</v>
      </c>
      <c r="I38" s="3"/>
      <c r="J38" s="3"/>
      <c r="K38" s="3"/>
    </row>
    <row r="39" customFormat="false" ht="15" hidden="false" customHeight="true" outlineLevel="0" collapsed="false">
      <c r="A39" s="4" t="s">
        <v>130</v>
      </c>
      <c r="B39" s="4" t="s">
        <v>43</v>
      </c>
      <c r="C39" s="4" t="s">
        <v>131</v>
      </c>
      <c r="D39" s="4" t="s">
        <v>132</v>
      </c>
      <c r="E39" s="4" t="s">
        <v>34</v>
      </c>
      <c r="F39" s="4" t="s">
        <v>133</v>
      </c>
      <c r="G39" s="4"/>
      <c r="H39" s="4" t="s">
        <v>17</v>
      </c>
      <c r="I39" s="4"/>
      <c r="J39" s="4"/>
      <c r="K39" s="4"/>
    </row>
    <row r="40" customFormat="false" ht="23.25" hidden="false" customHeight="true" outlineLevel="0" collapsed="false">
      <c r="A40" s="3" t="s">
        <v>134</v>
      </c>
      <c r="B40" s="3" t="s">
        <v>135</v>
      </c>
      <c r="C40" s="3" t="s">
        <v>136</v>
      </c>
      <c r="D40" s="3" t="s">
        <v>132</v>
      </c>
      <c r="E40" s="3" t="s">
        <v>34</v>
      </c>
      <c r="F40" s="3" t="s">
        <v>137</v>
      </c>
      <c r="G40" s="3"/>
      <c r="H40" s="3" t="s">
        <v>17</v>
      </c>
      <c r="I40" s="3"/>
      <c r="J40" s="3"/>
      <c r="K40" s="3"/>
    </row>
    <row r="41" customFormat="false" ht="15" hidden="false" customHeight="true" outlineLevel="0" collapsed="false">
      <c r="A41" s="4" t="s">
        <v>138</v>
      </c>
      <c r="B41" s="4" t="s">
        <v>135</v>
      </c>
      <c r="C41" s="4" t="s">
        <v>139</v>
      </c>
      <c r="D41" s="4" t="s">
        <v>132</v>
      </c>
      <c r="E41" s="4" t="s">
        <v>127</v>
      </c>
      <c r="F41" s="4" t="s">
        <v>137</v>
      </c>
      <c r="G41" s="4"/>
      <c r="H41" s="4" t="s">
        <v>17</v>
      </c>
      <c r="I41" s="4"/>
      <c r="J41" s="4"/>
      <c r="K41" s="4"/>
    </row>
    <row r="42" customFormat="false" ht="23.25" hidden="false" customHeight="true" outlineLevel="0" collapsed="false">
      <c r="A42" s="3" t="s">
        <v>140</v>
      </c>
      <c r="B42" s="3" t="s">
        <v>135</v>
      </c>
      <c r="C42" s="3" t="s">
        <v>141</v>
      </c>
      <c r="D42" s="3" t="s">
        <v>132</v>
      </c>
      <c r="E42" s="3" t="s">
        <v>127</v>
      </c>
      <c r="F42" s="3" t="s">
        <v>142</v>
      </c>
      <c r="G42" s="3"/>
      <c r="H42" s="3" t="s">
        <v>17</v>
      </c>
      <c r="I42" s="3"/>
      <c r="J42" s="3"/>
      <c r="K42" s="3"/>
    </row>
    <row r="43" customFormat="false" ht="23.25" hidden="false" customHeight="true" outlineLevel="0" collapsed="false">
      <c r="A43" s="4" t="s">
        <v>143</v>
      </c>
      <c r="B43" s="4" t="s">
        <v>80</v>
      </c>
      <c r="C43" s="4" t="s">
        <v>144</v>
      </c>
      <c r="D43" s="4" t="s">
        <v>132</v>
      </c>
      <c r="E43" s="4" t="s">
        <v>145</v>
      </c>
      <c r="F43" s="4" t="s">
        <v>84</v>
      </c>
      <c r="G43" s="4"/>
      <c r="H43" s="4" t="s">
        <v>17</v>
      </c>
      <c r="I43" s="4"/>
      <c r="J43" s="4"/>
      <c r="K43" s="4"/>
    </row>
    <row r="44" customFormat="false" ht="15" hidden="false" customHeight="true" outlineLevel="0" collapsed="false">
      <c r="A44" s="3" t="s">
        <v>146</v>
      </c>
      <c r="B44" s="3" t="s">
        <v>80</v>
      </c>
      <c r="C44" s="3" t="s">
        <v>147</v>
      </c>
      <c r="D44" s="3" t="s">
        <v>132</v>
      </c>
      <c r="E44" s="3" t="s">
        <v>148</v>
      </c>
      <c r="F44" s="3" t="s">
        <v>16</v>
      </c>
      <c r="G44" s="3"/>
      <c r="H44" s="3" t="s">
        <v>17</v>
      </c>
      <c r="I44" s="3"/>
      <c r="J44" s="3"/>
      <c r="K44" s="3"/>
    </row>
    <row r="45" customFormat="false" ht="23.25" hidden="false" customHeight="true" outlineLevel="0" collapsed="false">
      <c r="A45" s="4" t="s">
        <v>149</v>
      </c>
      <c r="B45" s="4" t="s">
        <v>80</v>
      </c>
      <c r="C45" s="4" t="s">
        <v>150</v>
      </c>
      <c r="D45" s="4" t="s">
        <v>132</v>
      </c>
      <c r="E45" s="4" t="s">
        <v>151</v>
      </c>
      <c r="F45" s="4" t="s">
        <v>16</v>
      </c>
      <c r="G45" s="4"/>
      <c r="H45" s="4" t="s">
        <v>17</v>
      </c>
      <c r="I45" s="4"/>
      <c r="J45" s="4"/>
      <c r="K45" s="4"/>
    </row>
    <row r="46" customFormat="false" ht="15" hidden="false" customHeight="true" outlineLevel="0" collapsed="false">
      <c r="A46" s="3" t="s">
        <v>152</v>
      </c>
      <c r="B46" s="3" t="s">
        <v>32</v>
      </c>
      <c r="C46" s="3" t="s">
        <v>153</v>
      </c>
      <c r="D46" s="3" t="s">
        <v>132</v>
      </c>
      <c r="E46" s="3" t="s">
        <v>34</v>
      </c>
      <c r="F46" s="3" t="s">
        <v>16</v>
      </c>
      <c r="G46" s="3"/>
      <c r="H46" s="3" t="s">
        <v>17</v>
      </c>
      <c r="I46" s="3"/>
      <c r="J46" s="3"/>
      <c r="K46" s="3"/>
    </row>
    <row r="47" customFormat="false" ht="23.25" hidden="false" customHeight="true" outlineLevel="0" collapsed="false">
      <c r="A47" s="4" t="s">
        <v>154</v>
      </c>
      <c r="B47" s="4" t="s">
        <v>32</v>
      </c>
      <c r="C47" s="4" t="s">
        <v>155</v>
      </c>
      <c r="D47" s="4" t="s">
        <v>132</v>
      </c>
      <c r="E47" s="4" t="s">
        <v>34</v>
      </c>
      <c r="F47" s="4" t="s">
        <v>16</v>
      </c>
      <c r="G47" s="4"/>
      <c r="H47" s="4" t="s">
        <v>17</v>
      </c>
      <c r="I47" s="4"/>
      <c r="J47" s="4"/>
      <c r="K47" s="4"/>
    </row>
    <row r="48" customFormat="false" ht="15" hidden="false" customHeight="true" outlineLevel="0" collapsed="false">
      <c r="A48" s="3" t="s">
        <v>156</v>
      </c>
      <c r="B48" s="3" t="s">
        <v>102</v>
      </c>
      <c r="C48" s="3" t="s">
        <v>157</v>
      </c>
      <c r="D48" s="3" t="s">
        <v>132</v>
      </c>
      <c r="E48" s="3" t="s">
        <v>15</v>
      </c>
      <c r="F48" s="3" t="s">
        <v>16</v>
      </c>
      <c r="G48" s="3"/>
      <c r="H48" s="3" t="s">
        <v>17</v>
      </c>
      <c r="I48" s="3"/>
      <c r="J48" s="3"/>
      <c r="K48" s="3"/>
    </row>
    <row r="49" customFormat="false" ht="15" hidden="false" customHeight="true" outlineLevel="0" collapsed="false">
      <c r="A49" s="4" t="s">
        <v>158</v>
      </c>
      <c r="B49" s="4" t="s">
        <v>102</v>
      </c>
      <c r="C49" s="4" t="s">
        <v>159</v>
      </c>
      <c r="D49" s="4" t="s">
        <v>132</v>
      </c>
      <c r="E49" s="4" t="s">
        <v>160</v>
      </c>
      <c r="F49" s="4" t="s">
        <v>16</v>
      </c>
      <c r="G49" s="4"/>
      <c r="H49" s="4" t="s">
        <v>17</v>
      </c>
      <c r="I49" s="4"/>
      <c r="J49" s="4"/>
      <c r="K49" s="4"/>
    </row>
    <row r="50" customFormat="false" ht="15" hidden="false" customHeight="true" outlineLevel="0" collapsed="false">
      <c r="A50" s="3" t="s">
        <v>161</v>
      </c>
      <c r="B50" s="3" t="s">
        <v>102</v>
      </c>
      <c r="C50" s="3" t="s">
        <v>162</v>
      </c>
      <c r="D50" s="3" t="s">
        <v>132</v>
      </c>
      <c r="E50" s="3" t="s">
        <v>163</v>
      </c>
      <c r="F50" s="3" t="s">
        <v>16</v>
      </c>
      <c r="G50" s="3"/>
      <c r="H50" s="3" t="s">
        <v>17</v>
      </c>
      <c r="I50" s="3"/>
      <c r="J50" s="3"/>
      <c r="K50" s="3"/>
    </row>
    <row r="51" customFormat="false" ht="15" hidden="false" customHeight="true" outlineLevel="0" collapsed="false">
      <c r="A51" s="4" t="s">
        <v>164</v>
      </c>
      <c r="B51" s="4" t="s">
        <v>12</v>
      </c>
      <c r="C51" s="4" t="s">
        <v>165</v>
      </c>
      <c r="D51" s="4" t="s">
        <v>132</v>
      </c>
      <c r="E51" s="4" t="s">
        <v>15</v>
      </c>
      <c r="F51" s="4" t="s">
        <v>16</v>
      </c>
      <c r="G51" s="4"/>
      <c r="H51" s="4" t="s">
        <v>17</v>
      </c>
      <c r="I51" s="4"/>
      <c r="J51" s="4"/>
      <c r="K51" s="4"/>
    </row>
    <row r="52" customFormat="false" ht="23.25" hidden="false" customHeight="true" outlineLevel="0" collapsed="false">
      <c r="A52" s="3" t="s">
        <v>166</v>
      </c>
      <c r="B52" s="3" t="s">
        <v>12</v>
      </c>
      <c r="C52" s="3" t="s">
        <v>167</v>
      </c>
      <c r="D52" s="3" t="s">
        <v>132</v>
      </c>
      <c r="E52" s="3" t="s">
        <v>15</v>
      </c>
      <c r="F52" s="3" t="s">
        <v>16</v>
      </c>
      <c r="G52" s="3"/>
      <c r="H52" s="3" t="s">
        <v>17</v>
      </c>
      <c r="I52" s="3"/>
      <c r="J52" s="3"/>
      <c r="K52" s="3"/>
    </row>
    <row r="53" customFormat="false" ht="23.25" hidden="false" customHeight="true" outlineLevel="0" collapsed="false">
      <c r="A53" s="4" t="s">
        <v>168</v>
      </c>
      <c r="B53" s="4" t="s">
        <v>43</v>
      </c>
      <c r="C53" s="4" t="s">
        <v>169</v>
      </c>
      <c r="D53" s="4" t="s">
        <v>132</v>
      </c>
      <c r="E53" s="4" t="s">
        <v>170</v>
      </c>
      <c r="F53" s="4" t="s">
        <v>171</v>
      </c>
      <c r="G53" s="4"/>
      <c r="H53" s="4" t="s">
        <v>17</v>
      </c>
      <c r="I53" s="4"/>
      <c r="J53" s="4"/>
      <c r="K53" s="4"/>
    </row>
    <row r="54" customFormat="false" ht="23.25" hidden="false" customHeight="true" outlineLevel="0" collapsed="false">
      <c r="A54" s="3" t="s">
        <v>172</v>
      </c>
      <c r="B54" s="3" t="s">
        <v>76</v>
      </c>
      <c r="C54" s="3" t="s">
        <v>173</v>
      </c>
      <c r="D54" s="3" t="s">
        <v>132</v>
      </c>
      <c r="E54" s="3" t="s">
        <v>174</v>
      </c>
      <c r="F54" s="3" t="s">
        <v>175</v>
      </c>
      <c r="G54" s="3"/>
      <c r="H54" s="3" t="s">
        <v>17</v>
      </c>
      <c r="I54" s="3"/>
      <c r="J54" s="3"/>
      <c r="K54" s="3"/>
    </row>
    <row r="55" customFormat="false" ht="23.25" hidden="false" customHeight="true" outlineLevel="0" collapsed="false">
      <c r="A55" s="4" t="s">
        <v>176</v>
      </c>
      <c r="B55" s="4" t="s">
        <v>73</v>
      </c>
      <c r="C55" s="4" t="s">
        <v>177</v>
      </c>
      <c r="D55" s="4" t="s">
        <v>132</v>
      </c>
      <c r="E55" s="4" t="s">
        <v>178</v>
      </c>
      <c r="F55" s="4" t="s">
        <v>179</v>
      </c>
      <c r="G55" s="4"/>
      <c r="H55" s="4" t="s">
        <v>17</v>
      </c>
      <c r="I55" s="4"/>
      <c r="J55" s="4"/>
      <c r="K55" s="4"/>
    </row>
    <row r="56" customFormat="false" ht="15" hidden="false" customHeight="true" outlineLevel="0" collapsed="false">
      <c r="A56" s="3" t="s">
        <v>180</v>
      </c>
      <c r="B56" s="3" t="s">
        <v>73</v>
      </c>
      <c r="C56" s="3" t="s">
        <v>181</v>
      </c>
      <c r="D56" s="3" t="s">
        <v>132</v>
      </c>
      <c r="E56" s="3" t="s">
        <v>34</v>
      </c>
      <c r="F56" s="3" t="s">
        <v>16</v>
      </c>
      <c r="G56" s="3"/>
      <c r="H56" s="3" t="s">
        <v>17</v>
      </c>
      <c r="I56" s="3"/>
      <c r="J56" s="3"/>
      <c r="K56" s="3"/>
    </row>
    <row r="57" customFormat="false" ht="23.25" hidden="false" customHeight="true" outlineLevel="0" collapsed="false">
      <c r="A57" s="4" t="s">
        <v>182</v>
      </c>
      <c r="B57" s="4" t="s">
        <v>32</v>
      </c>
      <c r="C57" s="4" t="s">
        <v>183</v>
      </c>
      <c r="D57" s="4" t="s">
        <v>132</v>
      </c>
      <c r="E57" s="4" t="s">
        <v>78</v>
      </c>
      <c r="F57" s="4" t="s">
        <v>27</v>
      </c>
      <c r="G57" s="4"/>
      <c r="H57" s="4" t="s">
        <v>17</v>
      </c>
      <c r="I57" s="4"/>
      <c r="J57" s="4"/>
      <c r="K57" s="4"/>
    </row>
    <row r="58" customFormat="false" ht="23.25" hidden="false" customHeight="true" outlineLevel="0" collapsed="false">
      <c r="A58" s="3" t="s">
        <v>184</v>
      </c>
      <c r="B58" s="3" t="s">
        <v>32</v>
      </c>
      <c r="C58" s="3" t="s">
        <v>185</v>
      </c>
      <c r="D58" s="3" t="s">
        <v>132</v>
      </c>
      <c r="E58" s="3" t="s">
        <v>117</v>
      </c>
      <c r="F58" s="3" t="s">
        <v>122</v>
      </c>
      <c r="G58" s="3"/>
      <c r="H58" s="3" t="s">
        <v>17</v>
      </c>
      <c r="I58" s="3"/>
      <c r="J58" s="3"/>
      <c r="K58" s="3"/>
    </row>
    <row r="59" customFormat="false" ht="15" hidden="false" customHeight="true" outlineLevel="0" collapsed="false">
      <c r="A59" s="4" t="s">
        <v>186</v>
      </c>
      <c r="B59" s="4" t="s">
        <v>135</v>
      </c>
      <c r="C59" s="4" t="s">
        <v>187</v>
      </c>
      <c r="D59" s="4" t="s">
        <v>188</v>
      </c>
      <c r="E59" s="4" t="s">
        <v>189</v>
      </c>
      <c r="F59" s="4" t="s">
        <v>137</v>
      </c>
      <c r="G59" s="4"/>
      <c r="H59" s="4" t="s">
        <v>17</v>
      </c>
      <c r="I59" s="4"/>
      <c r="J59" s="4"/>
      <c r="K59" s="4"/>
    </row>
    <row r="60" customFormat="false" ht="15" hidden="false" customHeight="true" outlineLevel="0" collapsed="false">
      <c r="A60" s="3" t="s">
        <v>190</v>
      </c>
      <c r="B60" s="3" t="s">
        <v>12</v>
      </c>
      <c r="C60" s="3" t="s">
        <v>191</v>
      </c>
      <c r="D60" s="3" t="s">
        <v>188</v>
      </c>
      <c r="E60" s="3" t="s">
        <v>15</v>
      </c>
      <c r="F60" s="3" t="s">
        <v>16</v>
      </c>
      <c r="G60" s="3"/>
      <c r="H60" s="3" t="s">
        <v>17</v>
      </c>
      <c r="I60" s="3"/>
      <c r="J60" s="3"/>
      <c r="K60" s="3"/>
    </row>
    <row r="61" customFormat="false" ht="15" hidden="false" customHeight="true" outlineLevel="0" collapsed="false">
      <c r="A61" s="4" t="s">
        <v>192</v>
      </c>
      <c r="B61" s="4" t="s">
        <v>80</v>
      </c>
      <c r="C61" s="4" t="s">
        <v>193</v>
      </c>
      <c r="D61" s="4" t="s">
        <v>194</v>
      </c>
      <c r="E61" s="4" t="s">
        <v>195</v>
      </c>
      <c r="F61" s="4" t="s">
        <v>16</v>
      </c>
      <c r="G61" s="4"/>
      <c r="H61" s="4" t="s">
        <v>196</v>
      </c>
      <c r="I61" s="4"/>
      <c r="J61" s="4"/>
      <c r="K61" s="4"/>
    </row>
    <row r="62" customFormat="false" ht="23.25" hidden="false" customHeight="true" outlineLevel="0" collapsed="false">
      <c r="A62" s="3" t="s">
        <v>197</v>
      </c>
      <c r="B62" s="3" t="s">
        <v>80</v>
      </c>
      <c r="C62" s="3" t="s">
        <v>198</v>
      </c>
      <c r="D62" s="3" t="s">
        <v>194</v>
      </c>
      <c r="E62" s="3" t="s">
        <v>199</v>
      </c>
      <c r="F62" s="3" t="s">
        <v>118</v>
      </c>
      <c r="G62" s="3"/>
      <c r="H62" s="3" t="s">
        <v>196</v>
      </c>
      <c r="I62" s="3"/>
      <c r="J62" s="3"/>
      <c r="K62" s="3"/>
    </row>
    <row r="63" customFormat="false" ht="15" hidden="false" customHeight="true" outlineLevel="0" collapsed="false">
      <c r="A63" s="4" t="s">
        <v>200</v>
      </c>
      <c r="B63" s="4" t="s">
        <v>80</v>
      </c>
      <c r="C63" s="4" t="s">
        <v>201</v>
      </c>
      <c r="D63" s="4" t="s">
        <v>194</v>
      </c>
      <c r="E63" s="4" t="s">
        <v>202</v>
      </c>
      <c r="F63" s="4" t="s">
        <v>84</v>
      </c>
      <c r="G63" s="4"/>
      <c r="H63" s="4" t="s">
        <v>196</v>
      </c>
      <c r="I63" s="4"/>
      <c r="J63" s="4"/>
      <c r="K63" s="4"/>
    </row>
    <row r="64" customFormat="false" ht="15" hidden="false" customHeight="true" outlineLevel="0" collapsed="false">
      <c r="A64" s="3" t="s">
        <v>203</v>
      </c>
      <c r="B64" s="3" t="s">
        <v>80</v>
      </c>
      <c r="C64" s="3" t="s">
        <v>204</v>
      </c>
      <c r="D64" s="3" t="s">
        <v>194</v>
      </c>
      <c r="E64" s="3" t="s">
        <v>205</v>
      </c>
      <c r="F64" s="3" t="s">
        <v>84</v>
      </c>
      <c r="G64" s="3"/>
      <c r="H64" s="3" t="s">
        <v>196</v>
      </c>
      <c r="I64" s="3"/>
      <c r="J64" s="3"/>
      <c r="K64" s="3"/>
    </row>
    <row r="65" customFormat="false" ht="15" hidden="false" customHeight="true" outlineLevel="0" collapsed="false">
      <c r="A65" s="4" t="s">
        <v>206</v>
      </c>
      <c r="B65" s="4" t="s">
        <v>80</v>
      </c>
      <c r="C65" s="4" t="s">
        <v>207</v>
      </c>
      <c r="D65" s="4" t="s">
        <v>194</v>
      </c>
      <c r="E65" s="4" t="s">
        <v>208</v>
      </c>
      <c r="F65" s="4" t="s">
        <v>96</v>
      </c>
      <c r="G65" s="4"/>
      <c r="H65" s="4" t="s">
        <v>196</v>
      </c>
      <c r="I65" s="4"/>
      <c r="J65" s="4"/>
      <c r="K65" s="4"/>
    </row>
    <row r="66" customFormat="false" ht="15" hidden="false" customHeight="true" outlineLevel="0" collapsed="false">
      <c r="A66" s="3" t="s">
        <v>209</v>
      </c>
      <c r="B66" s="3" t="s">
        <v>80</v>
      </c>
      <c r="C66" s="3" t="s">
        <v>210</v>
      </c>
      <c r="D66" s="3" t="s">
        <v>194</v>
      </c>
      <c r="E66" s="3" t="s">
        <v>211</v>
      </c>
      <c r="F66" s="3" t="s">
        <v>96</v>
      </c>
      <c r="G66" s="3"/>
      <c r="H66" s="3" t="s">
        <v>196</v>
      </c>
      <c r="I66" s="3"/>
      <c r="J66" s="3"/>
      <c r="K66" s="3"/>
    </row>
    <row r="67" customFormat="false" ht="15" hidden="false" customHeight="true" outlineLevel="0" collapsed="false">
      <c r="A67" s="4" t="s">
        <v>212</v>
      </c>
      <c r="B67" s="4" t="s">
        <v>80</v>
      </c>
      <c r="C67" s="4" t="s">
        <v>213</v>
      </c>
      <c r="D67" s="4" t="s">
        <v>194</v>
      </c>
      <c r="E67" s="4" t="s">
        <v>214</v>
      </c>
      <c r="F67" s="4" t="s">
        <v>16</v>
      </c>
      <c r="G67" s="4"/>
      <c r="H67" s="4" t="s">
        <v>196</v>
      </c>
      <c r="I67" s="4"/>
      <c r="J67" s="4"/>
      <c r="K67" s="4"/>
    </row>
    <row r="68" customFormat="false" ht="15" hidden="false" customHeight="true" outlineLevel="0" collapsed="false">
      <c r="A68" s="3" t="s">
        <v>215</v>
      </c>
      <c r="B68" s="3" t="s">
        <v>80</v>
      </c>
      <c r="C68" s="3" t="s">
        <v>216</v>
      </c>
      <c r="D68" s="3" t="s">
        <v>194</v>
      </c>
      <c r="E68" s="3" t="s">
        <v>217</v>
      </c>
      <c r="F68" s="3" t="s">
        <v>16</v>
      </c>
      <c r="G68" s="3"/>
      <c r="H68" s="3" t="s">
        <v>196</v>
      </c>
      <c r="I68" s="3"/>
      <c r="J68" s="3"/>
      <c r="K68" s="3"/>
    </row>
    <row r="69" customFormat="false" ht="15" hidden="false" customHeight="true" outlineLevel="0" collapsed="false">
      <c r="A69" s="4" t="s">
        <v>218</v>
      </c>
      <c r="B69" s="4" t="s">
        <v>80</v>
      </c>
      <c r="C69" s="4" t="s">
        <v>219</v>
      </c>
      <c r="D69" s="4" t="s">
        <v>194</v>
      </c>
      <c r="E69" s="4" t="s">
        <v>220</v>
      </c>
      <c r="F69" s="4" t="s">
        <v>171</v>
      </c>
      <c r="G69" s="4"/>
      <c r="H69" s="4" t="s">
        <v>196</v>
      </c>
      <c r="I69" s="4"/>
      <c r="J69" s="4"/>
      <c r="K69" s="4"/>
    </row>
    <row r="70" customFormat="false" ht="23.25" hidden="false" customHeight="true" outlineLevel="0" collapsed="false">
      <c r="A70" s="3" t="s">
        <v>221</v>
      </c>
      <c r="B70" s="3" t="s">
        <v>12</v>
      </c>
      <c r="C70" s="3" t="s">
        <v>222</v>
      </c>
      <c r="D70" s="3" t="s">
        <v>194</v>
      </c>
      <c r="E70" s="3" t="s">
        <v>15</v>
      </c>
      <c r="F70" s="3" t="s">
        <v>16</v>
      </c>
      <c r="G70" s="3"/>
      <c r="H70" s="3" t="s">
        <v>196</v>
      </c>
      <c r="I70" s="3"/>
      <c r="J70" s="3"/>
      <c r="K70" s="3"/>
    </row>
    <row r="71" customFormat="false" ht="15" hidden="false" customHeight="true" outlineLevel="0" collapsed="false">
      <c r="A71" s="4" t="s">
        <v>223</v>
      </c>
      <c r="B71" s="4" t="s">
        <v>32</v>
      </c>
      <c r="C71" s="4" t="s">
        <v>224</v>
      </c>
      <c r="D71" s="4" t="s">
        <v>194</v>
      </c>
      <c r="E71" s="4" t="s">
        <v>225</v>
      </c>
      <c r="F71" s="4" t="s">
        <v>16</v>
      </c>
      <c r="G71" s="4"/>
      <c r="H71" s="4" t="s">
        <v>196</v>
      </c>
      <c r="I71" s="4"/>
      <c r="J71" s="4"/>
      <c r="K71" s="4"/>
    </row>
  </sheetData>
  <autoFilter ref="A1:K71"/>
  <dataValidations count="2">
    <dataValidation allowBlank="true" error="Please select a valid status" errorStyle="stop" errorTitle="Invalid Status" operator="between" showDropDown="false" showErrorMessage="false" showInputMessage="false" sqref="H2:H71" type="list">
      <formula1>"Not Started,In Progress,Completed,Overdue,N/A"</formula1>
      <formula2>0</formula2>
    </dataValidation>
    <dataValidation allowBlank="true" error="Please select a valid frequency" errorStyle="stop" errorTitle="Invalid Frequency" operator="between" showDropDown="false" showErrorMessage="false" showInputMessage="false" sqref="D2:D71" type="list">
      <formula1>"Daily,Weekly,Bi-Weekly,Monthly,Quarterly,Semi-Annually,Annually,Every 3 Years,Event-Driven"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7" min="2" style="1" width="25"/>
    <col collapsed="false" customWidth="true" hidden="false" outlineLevel="0" max="8" min="8" style="1" width="35"/>
  </cols>
  <sheetData>
    <row r="1" customFormat="false" ht="15" hidden="false" customHeight="true" outlineLevel="0" collapsed="false">
      <c r="A1" s="2" t="s">
        <v>226</v>
      </c>
      <c r="B1" s="2" t="s">
        <v>227</v>
      </c>
      <c r="C1" s="2" t="s">
        <v>228</v>
      </c>
      <c r="D1" s="2" t="s">
        <v>229</v>
      </c>
      <c r="E1" s="2" t="s">
        <v>230</v>
      </c>
      <c r="F1" s="2" t="s">
        <v>231</v>
      </c>
      <c r="G1" s="2" t="s">
        <v>232</v>
      </c>
      <c r="H1" s="2" t="s">
        <v>233</v>
      </c>
    </row>
    <row r="2" customFormat="false" ht="23.25" hidden="false" customHeight="true" outlineLevel="0" collapsed="false">
      <c r="A2" s="3" t="s">
        <v>234</v>
      </c>
      <c r="B2" s="3" t="s">
        <v>235</v>
      </c>
      <c r="C2" s="3" t="s">
        <v>236</v>
      </c>
      <c r="D2" s="3" t="s">
        <v>237</v>
      </c>
      <c r="E2" s="3"/>
      <c r="F2" s="3"/>
      <c r="G2" s="3"/>
      <c r="H2" s="3" t="s">
        <v>238</v>
      </c>
    </row>
    <row r="3" customFormat="false" ht="23.25" hidden="false" customHeight="true" outlineLevel="0" collapsed="false">
      <c r="A3" s="4" t="s">
        <v>234</v>
      </c>
      <c r="B3" s="4" t="s">
        <v>235</v>
      </c>
      <c r="C3" s="4" t="s">
        <v>236</v>
      </c>
      <c r="D3" s="4" t="s">
        <v>237</v>
      </c>
      <c r="E3" s="4"/>
      <c r="F3" s="4"/>
      <c r="G3" s="4"/>
      <c r="H3" s="4" t="s">
        <v>238</v>
      </c>
    </row>
    <row r="4" customFormat="false" ht="15" hidden="false" customHeight="true" outlineLevel="0" collapsed="false">
      <c r="A4" s="3" t="s">
        <v>239</v>
      </c>
      <c r="B4" s="3" t="s">
        <v>235</v>
      </c>
      <c r="C4" s="3" t="s">
        <v>236</v>
      </c>
      <c r="D4" s="3" t="s">
        <v>237</v>
      </c>
      <c r="E4" s="3" t="s">
        <v>240</v>
      </c>
      <c r="F4" s="3"/>
      <c r="G4" s="3"/>
      <c r="H4" s="3"/>
    </row>
    <row r="5" customFormat="false" ht="15" hidden="false" customHeight="true" outlineLevel="0" collapsed="false">
      <c r="A5" s="4" t="s">
        <v>241</v>
      </c>
      <c r="B5" s="4" t="s">
        <v>235</v>
      </c>
      <c r="C5" s="4" t="s">
        <v>236</v>
      </c>
      <c r="D5" s="4" t="s">
        <v>237</v>
      </c>
      <c r="E5" s="4"/>
      <c r="F5" s="4"/>
      <c r="G5" s="4"/>
      <c r="H5" s="4" t="s">
        <v>242</v>
      </c>
    </row>
    <row r="6" customFormat="false" ht="15" hidden="false" customHeight="true" outlineLevel="0" collapsed="false">
      <c r="A6" s="3" t="s">
        <v>243</v>
      </c>
      <c r="B6" s="3" t="s">
        <v>235</v>
      </c>
      <c r="C6" s="3" t="s">
        <v>236</v>
      </c>
      <c r="D6" s="3" t="s">
        <v>237</v>
      </c>
      <c r="E6" s="3"/>
      <c r="F6" s="3"/>
      <c r="G6" s="3"/>
      <c r="H6" s="3"/>
    </row>
    <row r="7" customFormat="false" ht="15" hidden="false" customHeight="true" outlineLevel="0" collapsed="false">
      <c r="A7" s="4" t="s">
        <v>243</v>
      </c>
      <c r="B7" s="4" t="s">
        <v>235</v>
      </c>
      <c r="C7" s="4" t="s">
        <v>236</v>
      </c>
      <c r="D7" s="4" t="s">
        <v>237</v>
      </c>
      <c r="E7" s="4"/>
      <c r="F7" s="4"/>
      <c r="G7" s="4"/>
      <c r="H7" s="4"/>
    </row>
    <row r="8" customFormat="false" ht="15" hidden="false" customHeight="true" outlineLevel="0" collapsed="false">
      <c r="A8" s="3" t="s">
        <v>244</v>
      </c>
      <c r="B8" s="3" t="s">
        <v>235</v>
      </c>
      <c r="C8" s="3" t="s">
        <v>236</v>
      </c>
      <c r="D8" s="3" t="s">
        <v>237</v>
      </c>
      <c r="E8" s="3" t="s">
        <v>240</v>
      </c>
      <c r="F8" s="3" t="s">
        <v>245</v>
      </c>
      <c r="G8" s="3"/>
      <c r="H8" s="3"/>
    </row>
    <row r="9" customFormat="false" ht="15" hidden="false" customHeight="true" outlineLevel="0" collapsed="false">
      <c r="A9" s="4" t="s">
        <v>246</v>
      </c>
      <c r="B9" s="4" t="s">
        <v>235</v>
      </c>
      <c r="C9" s="4" t="s">
        <v>236</v>
      </c>
      <c r="D9" s="4" t="s">
        <v>237</v>
      </c>
      <c r="E9" s="4"/>
      <c r="F9" s="4"/>
      <c r="G9" s="4"/>
      <c r="H9" s="4" t="s">
        <v>242</v>
      </c>
    </row>
    <row r="10" customFormat="false" ht="15" hidden="false" customHeight="true" outlineLevel="0" collapsed="false">
      <c r="A10" s="3" t="s">
        <v>247</v>
      </c>
      <c r="B10" s="3" t="s">
        <v>235</v>
      </c>
      <c r="C10" s="3" t="s">
        <v>236</v>
      </c>
      <c r="D10" s="3" t="s">
        <v>237</v>
      </c>
      <c r="E10" s="3"/>
      <c r="F10" s="3"/>
      <c r="G10" s="3"/>
      <c r="H10" s="3"/>
    </row>
    <row r="11" customFormat="false" ht="15" hidden="false" customHeight="true" outlineLevel="0" collapsed="false">
      <c r="A11" s="4" t="s">
        <v>248</v>
      </c>
      <c r="B11" s="4" t="s">
        <v>235</v>
      </c>
      <c r="C11" s="4" t="s">
        <v>236</v>
      </c>
      <c r="D11" s="4" t="s">
        <v>237</v>
      </c>
      <c r="E11" s="4" t="s">
        <v>240</v>
      </c>
      <c r="F11" s="4"/>
      <c r="G11" s="4"/>
      <c r="H11" s="4"/>
    </row>
    <row r="12" customFormat="false" ht="15" hidden="false" customHeight="true" outlineLevel="0" collapsed="false">
      <c r="A12" s="3" t="s">
        <v>249</v>
      </c>
      <c r="B12" s="3" t="s">
        <v>235</v>
      </c>
      <c r="C12" s="3" t="s">
        <v>236</v>
      </c>
      <c r="D12" s="3" t="s">
        <v>237</v>
      </c>
      <c r="E12" s="3"/>
      <c r="F12" s="3"/>
      <c r="G12" s="3"/>
      <c r="H12" s="3" t="s">
        <v>242</v>
      </c>
    </row>
    <row r="13" customFormat="false" ht="15" hidden="false" customHeight="true" outlineLevel="0" collapsed="false">
      <c r="A13" s="4" t="s">
        <v>250</v>
      </c>
      <c r="B13" s="4" t="s">
        <v>235</v>
      </c>
      <c r="C13" s="4" t="s">
        <v>236</v>
      </c>
      <c r="D13" s="4" t="s">
        <v>237</v>
      </c>
      <c r="E13" s="4"/>
      <c r="F13" s="4"/>
      <c r="G13" s="4"/>
      <c r="H13" s="4"/>
    </row>
    <row r="14" customFormat="false" ht="15" hidden="false" customHeight="true" outlineLevel="0" collapsed="false">
      <c r="A14" s="3" t="s">
        <v>251</v>
      </c>
      <c r="B14" s="3" t="s">
        <v>235</v>
      </c>
      <c r="C14" s="3" t="s">
        <v>236</v>
      </c>
      <c r="D14" s="3" t="s">
        <v>237</v>
      </c>
      <c r="E14" s="3" t="s">
        <v>240</v>
      </c>
      <c r="F14" s="3" t="s">
        <v>245</v>
      </c>
      <c r="G14" s="3" t="s">
        <v>252</v>
      </c>
      <c r="H14" s="3"/>
    </row>
    <row r="15" customFormat="false" ht="23.25" hidden="false" customHeight="true" outlineLevel="0" collapsed="false">
      <c r="A15" s="4" t="s">
        <v>253</v>
      </c>
      <c r="B15" s="4" t="s">
        <v>235</v>
      </c>
      <c r="C15" s="4" t="s">
        <v>236</v>
      </c>
      <c r="D15" s="4" t="s">
        <v>237</v>
      </c>
      <c r="E15" s="4"/>
      <c r="F15" s="4"/>
      <c r="G15" s="4"/>
      <c r="H15" s="4" t="s">
        <v>238</v>
      </c>
    </row>
    <row r="16" customFormat="false" ht="15" hidden="false" customHeight="true" outlineLevel="0" collapsed="false">
      <c r="A16" s="3" t="s">
        <v>254</v>
      </c>
      <c r="B16" s="3" t="s">
        <v>235</v>
      </c>
      <c r="C16" s="3" t="s">
        <v>236</v>
      </c>
      <c r="D16" s="3" t="s">
        <v>237</v>
      </c>
      <c r="E16" s="3"/>
      <c r="F16" s="3"/>
      <c r="G16" s="3"/>
      <c r="H16" s="3"/>
    </row>
    <row r="17" customFormat="false" ht="15" hidden="false" customHeight="true" outlineLevel="0" collapsed="false">
      <c r="A17" s="4" t="s">
        <v>255</v>
      </c>
      <c r="B17" s="4" t="s">
        <v>235</v>
      </c>
      <c r="C17" s="4" t="s">
        <v>236</v>
      </c>
      <c r="D17" s="4" t="s">
        <v>237</v>
      </c>
      <c r="E17" s="4" t="s">
        <v>240</v>
      </c>
      <c r="F17" s="4"/>
      <c r="G17" s="4"/>
      <c r="H17" s="4"/>
    </row>
    <row r="18" customFormat="false" ht="15" hidden="false" customHeight="true" outlineLevel="0" collapsed="false">
      <c r="A18" s="3" t="s">
        <v>256</v>
      </c>
      <c r="B18" s="3" t="s">
        <v>235</v>
      </c>
      <c r="C18" s="3" t="s">
        <v>236</v>
      </c>
      <c r="D18" s="3" t="s">
        <v>237</v>
      </c>
      <c r="E18" s="3"/>
      <c r="F18" s="3"/>
      <c r="G18" s="3"/>
      <c r="H18" s="3" t="s">
        <v>242</v>
      </c>
    </row>
    <row r="19" customFormat="false" ht="15" hidden="false" customHeight="true" outlineLevel="0" collapsed="false">
      <c r="A19" s="4" t="s">
        <v>257</v>
      </c>
      <c r="B19" s="4" t="s">
        <v>235</v>
      </c>
      <c r="C19" s="4" t="s">
        <v>236</v>
      </c>
      <c r="D19" s="4" t="s">
        <v>237</v>
      </c>
      <c r="E19" s="4"/>
      <c r="F19" s="4"/>
      <c r="G19" s="4"/>
      <c r="H19" s="4"/>
    </row>
    <row r="20" customFormat="false" ht="15" hidden="false" customHeight="true" outlineLevel="0" collapsed="false">
      <c r="A20" s="3" t="s">
        <v>258</v>
      </c>
      <c r="B20" s="3" t="s">
        <v>235</v>
      </c>
      <c r="C20" s="3" t="s">
        <v>236</v>
      </c>
      <c r="D20" s="3" t="s">
        <v>237</v>
      </c>
      <c r="E20" s="3" t="s">
        <v>240</v>
      </c>
      <c r="F20" s="3" t="s">
        <v>245</v>
      </c>
      <c r="G20" s="3"/>
      <c r="H20" s="3"/>
    </row>
    <row r="21" customFormat="false" ht="15" hidden="false" customHeight="true" outlineLevel="0" collapsed="false">
      <c r="A21" s="4" t="s">
        <v>259</v>
      </c>
      <c r="B21" s="4" t="s">
        <v>235</v>
      </c>
      <c r="C21" s="4" t="s">
        <v>236</v>
      </c>
      <c r="D21" s="4" t="s">
        <v>237</v>
      </c>
      <c r="E21" s="4"/>
      <c r="F21" s="4"/>
      <c r="G21" s="4"/>
      <c r="H21" s="4" t="s">
        <v>242</v>
      </c>
    </row>
    <row r="22" customFormat="false" ht="15" hidden="false" customHeight="true" outlineLevel="0" collapsed="false">
      <c r="A22" s="3" t="s">
        <v>260</v>
      </c>
      <c r="B22" s="3" t="s">
        <v>235</v>
      </c>
      <c r="C22" s="3" t="s">
        <v>236</v>
      </c>
      <c r="D22" s="3" t="s">
        <v>237</v>
      </c>
      <c r="E22" s="3"/>
      <c r="F22" s="3"/>
      <c r="G22" s="3"/>
      <c r="H22" s="3"/>
    </row>
    <row r="23" customFormat="false" ht="15" hidden="false" customHeight="true" outlineLevel="0" collapsed="false">
      <c r="A23" s="4" t="s">
        <v>261</v>
      </c>
      <c r="B23" s="4" t="s">
        <v>235</v>
      </c>
      <c r="C23" s="4" t="s">
        <v>236</v>
      </c>
      <c r="D23" s="4" t="s">
        <v>237</v>
      </c>
      <c r="E23" s="4" t="s">
        <v>240</v>
      </c>
      <c r="F23" s="4"/>
      <c r="G23" s="4"/>
      <c r="H23" s="4"/>
    </row>
    <row r="24" customFormat="false" ht="15" hidden="false" customHeight="true" outlineLevel="0" collapsed="false">
      <c r="A24" s="3" t="s">
        <v>262</v>
      </c>
      <c r="B24" s="3" t="s">
        <v>235</v>
      </c>
      <c r="C24" s="3" t="s">
        <v>236</v>
      </c>
      <c r="D24" s="3" t="s">
        <v>237</v>
      </c>
      <c r="E24" s="3"/>
      <c r="F24" s="3"/>
      <c r="G24" s="3"/>
      <c r="H24" s="3" t="s">
        <v>242</v>
      </c>
    </row>
    <row r="25" customFormat="false" ht="15" hidden="false" customHeight="true" outlineLevel="0" collapsed="false">
      <c r="A25" s="4" t="s">
        <v>263</v>
      </c>
      <c r="B25" s="4" t="s">
        <v>235</v>
      </c>
      <c r="C25" s="4" t="s">
        <v>236</v>
      </c>
      <c r="D25" s="4" t="s">
        <v>237</v>
      </c>
      <c r="E25" s="4"/>
      <c r="F25" s="4"/>
      <c r="G25" s="4"/>
      <c r="H25" s="4"/>
    </row>
  </sheetData>
  <autoFilter ref="A1:H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20"/>
    <col collapsed="false" customWidth="true" hidden="false" outlineLevel="0" max="6" min="6" style="1" width="15"/>
    <col collapsed="false" customWidth="true" hidden="false" outlineLevel="0" max="7" min="7" style="1" width="18"/>
    <col collapsed="false" customWidth="true" hidden="false" outlineLevel="0" max="8" min="8" style="1" width="15"/>
    <col collapsed="false" customWidth="true" hidden="false" outlineLevel="0" max="9" min="9" style="1" width="18"/>
    <col collapsed="false" customWidth="true" hidden="false" outlineLevel="0" max="10" min="10" style="1" width="15"/>
    <col collapsed="false" customWidth="true" hidden="false" outlineLevel="0" max="11" min="11" style="1" width="18"/>
    <col collapsed="false" customWidth="true" hidden="false" outlineLevel="0" max="12" min="12" style="1" width="15"/>
    <col collapsed="false" customWidth="true" hidden="false" outlineLevel="0" max="13" min="13" style="1" width="20"/>
    <col collapsed="false" customWidth="true" hidden="false" outlineLevel="0" max="14" min="14" style="1" width="15"/>
    <col collapsed="false" customWidth="true" hidden="false" outlineLevel="0" max="15" min="15" style="1" width="25"/>
  </cols>
  <sheetData>
    <row r="1" customFormat="false" ht="34.5" hidden="false" customHeight="true" outlineLevel="0" collapsed="false">
      <c r="A1" s="2" t="s">
        <v>264</v>
      </c>
      <c r="B1" s="2" t="s">
        <v>265</v>
      </c>
      <c r="C1" s="2" t="s">
        <v>266</v>
      </c>
      <c r="D1" s="2" t="s">
        <v>267</v>
      </c>
      <c r="E1" s="2" t="s">
        <v>268</v>
      </c>
      <c r="F1" s="2" t="s">
        <v>269</v>
      </c>
      <c r="G1" s="2" t="s">
        <v>270</v>
      </c>
      <c r="H1" s="2" t="s">
        <v>271</v>
      </c>
      <c r="I1" s="2" t="s">
        <v>272</v>
      </c>
      <c r="J1" s="2" t="s">
        <v>273</v>
      </c>
      <c r="K1" s="2" t="s">
        <v>274</v>
      </c>
      <c r="L1" s="2" t="s">
        <v>275</v>
      </c>
      <c r="M1" s="2" t="s">
        <v>276</v>
      </c>
      <c r="N1" s="2" t="s">
        <v>277</v>
      </c>
      <c r="O1" s="2" t="s">
        <v>278</v>
      </c>
    </row>
    <row r="2" customFormat="false" ht="15" hidden="false" customHeight="true" outlineLevel="0" collapsed="false">
      <c r="A2" s="5" t="s">
        <v>279</v>
      </c>
      <c r="B2" s="5" t="s">
        <v>280</v>
      </c>
      <c r="C2" s="5"/>
      <c r="D2" s="5" t="s">
        <v>281</v>
      </c>
      <c r="E2" s="5"/>
      <c r="F2" s="5" t="s">
        <v>281</v>
      </c>
      <c r="G2" s="5"/>
      <c r="H2" s="5" t="s">
        <v>282</v>
      </c>
      <c r="I2" s="5"/>
      <c r="J2" s="5" t="s">
        <v>282</v>
      </c>
      <c r="K2" s="5"/>
      <c r="L2" s="5" t="s">
        <v>282</v>
      </c>
      <c r="M2" s="5"/>
      <c r="N2" s="5" t="s">
        <v>282</v>
      </c>
      <c r="O2" s="5"/>
    </row>
    <row r="3" customFormat="false" ht="15" hidden="false" customHeight="true" outlineLevel="0" collapsed="false">
      <c r="A3" s="6" t="s">
        <v>283</v>
      </c>
      <c r="B3" s="6" t="s">
        <v>284</v>
      </c>
      <c r="C3" s="6"/>
      <c r="D3" s="6" t="s">
        <v>282</v>
      </c>
      <c r="E3" s="6"/>
      <c r="F3" s="6" t="s">
        <v>282</v>
      </c>
      <c r="G3" s="6"/>
      <c r="H3" s="6" t="s">
        <v>282</v>
      </c>
      <c r="I3" s="6"/>
      <c r="J3" s="6" t="s">
        <v>282</v>
      </c>
      <c r="K3" s="6"/>
      <c r="L3" s="6" t="s">
        <v>282</v>
      </c>
      <c r="M3" s="6"/>
      <c r="N3" s="6" t="s">
        <v>282</v>
      </c>
      <c r="O3" s="6"/>
    </row>
    <row r="4" customFormat="false" ht="15" hidden="false" customHeight="true" outlineLevel="0" collapsed="false">
      <c r="A4" s="5" t="s">
        <v>285</v>
      </c>
      <c r="B4" s="5" t="s">
        <v>284</v>
      </c>
      <c r="C4" s="5"/>
      <c r="D4" s="5" t="s">
        <v>282</v>
      </c>
      <c r="E4" s="5"/>
      <c r="F4" s="5" t="s">
        <v>282</v>
      </c>
      <c r="G4" s="5"/>
      <c r="H4" s="5" t="s">
        <v>282</v>
      </c>
      <c r="I4" s="5"/>
      <c r="J4" s="5" t="s">
        <v>282</v>
      </c>
      <c r="K4" s="5"/>
      <c r="L4" s="5" t="s">
        <v>282</v>
      </c>
      <c r="M4" s="5"/>
      <c r="N4" s="5" t="s">
        <v>282</v>
      </c>
      <c r="O4" s="5"/>
    </row>
    <row r="5" customFormat="false" ht="15" hidden="false" customHeight="true" outlineLevel="0" collapsed="false">
      <c r="A5" s="6" t="s">
        <v>286</v>
      </c>
      <c r="B5" s="6" t="s">
        <v>287</v>
      </c>
      <c r="C5" s="6"/>
      <c r="D5" s="6" t="s">
        <v>288</v>
      </c>
      <c r="E5" s="6"/>
      <c r="F5" s="6" t="s">
        <v>288</v>
      </c>
      <c r="G5" s="6"/>
      <c r="H5" s="6" t="s">
        <v>288</v>
      </c>
      <c r="I5" s="6"/>
      <c r="J5" s="6" t="s">
        <v>288</v>
      </c>
      <c r="K5" s="6"/>
      <c r="L5" s="6" t="s">
        <v>288</v>
      </c>
      <c r="M5" s="6"/>
      <c r="N5" s="6" t="s">
        <v>288</v>
      </c>
      <c r="O5" s="6"/>
    </row>
    <row r="6" customFormat="false" ht="15" hidden="false" customHeight="true" outlineLevel="0" collapsed="false">
      <c r="A6" s="5" t="s">
        <v>289</v>
      </c>
      <c r="B6" s="5" t="s">
        <v>290</v>
      </c>
      <c r="C6" s="5"/>
      <c r="D6" s="5" t="s">
        <v>282</v>
      </c>
      <c r="E6" s="5"/>
      <c r="F6" s="5" t="s">
        <v>282</v>
      </c>
      <c r="G6" s="5"/>
      <c r="H6" s="5" t="s">
        <v>282</v>
      </c>
      <c r="I6" s="5"/>
      <c r="J6" s="5" t="s">
        <v>282</v>
      </c>
      <c r="K6" s="5"/>
      <c r="L6" s="5" t="s">
        <v>282</v>
      </c>
      <c r="M6" s="5"/>
      <c r="N6" s="5" t="s">
        <v>282</v>
      </c>
      <c r="O6" s="5"/>
    </row>
    <row r="7" customFormat="false" ht="15" hidden="false" customHeight="true" outlineLevel="0" collapsed="false">
      <c r="A7" s="6" t="s">
        <v>291</v>
      </c>
      <c r="B7" s="6" t="s">
        <v>290</v>
      </c>
      <c r="C7" s="6"/>
      <c r="D7" s="6" t="s">
        <v>282</v>
      </c>
      <c r="E7" s="6"/>
      <c r="F7" s="6" t="s">
        <v>282</v>
      </c>
      <c r="G7" s="6"/>
      <c r="H7" s="6" t="s">
        <v>282</v>
      </c>
      <c r="I7" s="6"/>
      <c r="J7" s="6" t="s">
        <v>282</v>
      </c>
      <c r="K7" s="6"/>
      <c r="L7" s="6" t="s">
        <v>282</v>
      </c>
      <c r="M7" s="6"/>
      <c r="N7" s="6" t="s">
        <v>282</v>
      </c>
      <c r="O7" s="6"/>
    </row>
  </sheetData>
  <autoFilter ref="A1:O7"/>
  <dataValidations count="6">
    <dataValidation allowBlank="true" error="Please select a valid status" errorStyle="stop" errorTitle="Invalid Status" operator="between" showDropDown="false" showErrorMessage="false" showInputMessage="false" sqref="D2:D7" type="list">
      <formula1>"Completed,Scheduled,Overdue,N/A"</formula1>
      <formula2>0</formula2>
    </dataValidation>
    <dataValidation allowBlank="true" error="Please select a valid status" errorStyle="stop" errorTitle="Invalid Status" operator="between" showDropDown="false" showErrorMessage="false" showInputMessage="false" sqref="F2:F7" type="list">
      <formula1>"Completed,Scheduled,Overdue,N/A"</formula1>
      <formula2>0</formula2>
    </dataValidation>
    <dataValidation allowBlank="true" error="Please select a valid status" errorStyle="stop" errorTitle="Invalid Status" operator="between" showDropDown="false" showErrorMessage="false" showInputMessage="false" sqref="H2:H7" type="list">
      <formula1>"Completed,Scheduled,Overdue,N/A"</formula1>
      <formula2>0</formula2>
    </dataValidation>
    <dataValidation allowBlank="true" error="Please select a valid status" errorStyle="stop" errorTitle="Invalid Status" operator="between" showDropDown="false" showErrorMessage="false" showInputMessage="false" sqref="J2:J7" type="list">
      <formula1>"Completed,Scheduled,Overdue,N/A"</formula1>
      <formula2>0</formula2>
    </dataValidation>
    <dataValidation allowBlank="true" error="Please select a valid status" errorStyle="stop" errorTitle="Invalid Status" operator="between" showDropDown="false" showErrorMessage="false" showInputMessage="false" sqref="L2:L7" type="list">
      <formula1>"Completed,Scheduled,Overdue,N/A"</formula1>
      <formula2>0</formula2>
    </dataValidation>
    <dataValidation allowBlank="true" error="Please select a valid status" errorStyle="stop" errorTitle="Invalid Status" operator="between" showDropDown="false" showErrorMessage="false" showInputMessage="false" sqref="N2:N7" type="list">
      <formula1>"Completed,Scheduled,Overdue,N/A"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2"/>
    <col collapsed="false" customWidth="true" hidden="false" outlineLevel="0" max="4" min="4" style="1" width="25"/>
    <col collapsed="false" customWidth="true" hidden="false" outlineLevel="0" max="5" min="5" style="1" width="15"/>
  </cols>
  <sheetData>
    <row r="1" customFormat="false" ht="15" hidden="false" customHeight="true" outlineLevel="0" collapsed="false">
      <c r="A1" s="7" t="s">
        <v>292</v>
      </c>
      <c r="B1" s="7"/>
      <c r="C1" s="7"/>
      <c r="D1" s="7"/>
      <c r="E1" s="7"/>
      <c r="F1" s="7"/>
      <c r="G1" s="7"/>
      <c r="H1" s="7"/>
    </row>
    <row r="2" customFormat="false" ht="15" hidden="false" customHeight="true" outlineLevel="0" collapsed="false">
      <c r="A2" s="7"/>
      <c r="B2" s="7"/>
      <c r="C2" s="7"/>
      <c r="D2" s="7"/>
      <c r="E2" s="7"/>
      <c r="F2" s="7"/>
      <c r="G2" s="7"/>
      <c r="H2" s="7"/>
    </row>
    <row r="4" customFormat="false" ht="15" hidden="false" customHeight="true" outlineLevel="0" collapsed="false">
      <c r="A4" s="8" t="s">
        <v>293</v>
      </c>
      <c r="B4" s="8"/>
      <c r="D4" s="9" t="s">
        <v>294</v>
      </c>
      <c r="E4" s="10" t="n">
        <f aca="false">COUNTIF('CMP Tasks'!H:H,"Overdue")</f>
        <v>0</v>
      </c>
    </row>
    <row r="5" customFormat="false" ht="15" hidden="false" customHeight="true" outlineLevel="0" collapsed="false">
      <c r="A5" s="11" t="s">
        <v>7</v>
      </c>
      <c r="B5" s="11" t="s">
        <v>295</v>
      </c>
      <c r="D5" s="9" t="s">
        <v>296</v>
      </c>
      <c r="E5" s="10" t="n">
        <f aca="false">COUNTA('CMP Tasks'!A2:A71)</f>
        <v>70</v>
      </c>
    </row>
    <row r="6" customFormat="false" ht="15" hidden="false" customHeight="true" outlineLevel="0" collapsed="false">
      <c r="A6" s="12" t="s">
        <v>17</v>
      </c>
      <c r="B6" s="9" t="n">
        <f aca="false">COUNTIF('CMP Tasks'!H:H,"Not Started")</f>
        <v>59</v>
      </c>
      <c r="D6" s="9" t="s">
        <v>297</v>
      </c>
      <c r="E6" s="10" t="n">
        <f aca="false">COUNTIF('CMP Tasks'!H:H,"Completed")</f>
        <v>0</v>
      </c>
    </row>
    <row r="7" customFormat="false" ht="15" hidden="false" customHeight="true" outlineLevel="0" collapsed="false">
      <c r="A7" s="12" t="s">
        <v>298</v>
      </c>
      <c r="B7" s="9" t="n">
        <f aca="false">COUNTIF('CMP Tasks'!H:H,"In Progress")</f>
        <v>0</v>
      </c>
      <c r="D7" s="9" t="s">
        <v>299</v>
      </c>
      <c r="E7" s="10" t="n">
        <f aca="false">COUNTIF('Training Tracker'!D2:D7,"Completed")/COUNTA('Training Tracker'!A2:A7)</f>
        <v>0.166666666666667</v>
      </c>
    </row>
    <row r="8" customFormat="false" ht="15" hidden="false" customHeight="true" outlineLevel="0" collapsed="false">
      <c r="A8" s="12" t="s">
        <v>288</v>
      </c>
      <c r="B8" s="9" t="n">
        <f aca="false">COUNTIF('CMP Tasks'!H:H,"Completed")</f>
        <v>0</v>
      </c>
    </row>
    <row r="9" customFormat="false" ht="15" hidden="false" customHeight="true" outlineLevel="0" collapsed="false">
      <c r="A9" s="12" t="s">
        <v>281</v>
      </c>
      <c r="B9" s="9" t="n">
        <f aca="false">COUNTIF('CMP Tasks'!H:H,"Overdue")</f>
        <v>0</v>
      </c>
    </row>
    <row r="10" customFormat="false" ht="15" hidden="false" customHeight="true" outlineLevel="0" collapsed="false">
      <c r="A10" s="12" t="s">
        <v>196</v>
      </c>
      <c r="B10" s="9" t="n">
        <f aca="false">COUNTIF('CMP Tasks'!H:H,"N/A")</f>
        <v>11</v>
      </c>
    </row>
    <row r="13" customFormat="false" ht="15" hidden="false" customHeight="true" outlineLevel="0" collapsed="false">
      <c r="A13" s="8" t="s">
        <v>300</v>
      </c>
      <c r="B13" s="8"/>
    </row>
    <row r="14" customFormat="false" ht="15" hidden="false" customHeight="true" outlineLevel="0" collapsed="false">
      <c r="A14" s="11" t="s">
        <v>3</v>
      </c>
      <c r="B14" s="11" t="s">
        <v>295</v>
      </c>
    </row>
    <row r="15" customFormat="false" ht="15" hidden="false" customHeight="true" outlineLevel="0" collapsed="false">
      <c r="A15" s="12" t="s">
        <v>14</v>
      </c>
      <c r="B15" s="9" t="n">
        <f aca="false">COUNTIF('CMP Tasks'!D:D,"Daily")</f>
        <v>3</v>
      </c>
    </row>
    <row r="16" customFormat="false" ht="15" hidden="false" customHeight="true" outlineLevel="0" collapsed="false">
      <c r="A16" s="12" t="s">
        <v>30</v>
      </c>
      <c r="B16" s="9" t="n">
        <f aca="false">COUNTIF('CMP Tasks'!D:D,"Weekly")</f>
        <v>3</v>
      </c>
    </row>
    <row r="17" customFormat="false" ht="15" hidden="false" customHeight="true" outlineLevel="0" collapsed="false">
      <c r="A17" s="12" t="s">
        <v>40</v>
      </c>
      <c r="B17" s="9" t="n">
        <f aca="false">COUNTIF('CMP Tasks'!D:D,"Bi-Weekly")</f>
        <v>2</v>
      </c>
    </row>
    <row r="18" customFormat="false" ht="15" hidden="false" customHeight="true" outlineLevel="0" collapsed="false">
      <c r="A18" s="12" t="s">
        <v>48</v>
      </c>
      <c r="B18" s="9" t="n">
        <f aca="false">COUNTIF('CMP Tasks'!D:D,"Monthly")</f>
        <v>12</v>
      </c>
    </row>
    <row r="19" customFormat="false" ht="15" hidden="false" customHeight="true" outlineLevel="0" collapsed="false">
      <c r="A19" s="12" t="s">
        <v>82</v>
      </c>
      <c r="B19" s="9" t="n">
        <f aca="false">COUNTIF('CMP Tasks'!D:D,"Quarterly")</f>
        <v>11</v>
      </c>
    </row>
    <row r="20" customFormat="false" ht="15" hidden="false" customHeight="true" outlineLevel="0" collapsed="false">
      <c r="A20" s="12" t="s">
        <v>114</v>
      </c>
      <c r="B20" s="9" t="n">
        <f aca="false">COUNTIF('CMP Tasks'!D:D,"Semi-Annually")</f>
        <v>6</v>
      </c>
    </row>
    <row r="21" customFormat="false" ht="15" hidden="false" customHeight="true" outlineLevel="0" collapsed="false">
      <c r="A21" s="12" t="s">
        <v>132</v>
      </c>
      <c r="B21" s="9" t="n">
        <f aca="false">COUNTIF('CMP Tasks'!D:D,"Annually")</f>
        <v>20</v>
      </c>
    </row>
    <row r="22" customFormat="false" ht="15" hidden="false" customHeight="true" outlineLevel="0" collapsed="false">
      <c r="A22" s="12" t="s">
        <v>188</v>
      </c>
      <c r="B22" s="9" t="n">
        <f aca="false">COUNTIF('CMP Tasks'!D:D,"Every 3 Years")</f>
        <v>2</v>
      </c>
    </row>
    <row r="23" customFormat="false" ht="15" hidden="false" customHeight="true" outlineLevel="0" collapsed="false">
      <c r="A23" s="12" t="s">
        <v>194</v>
      </c>
      <c r="B23" s="9" t="n">
        <f aca="false">COUNTIF('CMP Tasks'!D:D,"Event-Driven")</f>
        <v>11</v>
      </c>
    </row>
  </sheetData>
  <mergeCells count="3">
    <mergeCell ref="A1:H2"/>
    <mergeCell ref="A4:B4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2026-04-03T15:06:42Z</dcterms:created>
  <dc:creator>openpyxl</dc:creator>
  <dc:description/>
  <dc:language>en-US</dc:language>
  <cp:lastModifiedBy/>
  <dcterms:modified xsi:type="dcterms:W3CDTF">2026-04-03T15:06:54Z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